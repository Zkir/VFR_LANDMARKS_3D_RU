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35" windowWidth="21075" windowHeight="9780" tabRatio="532"/>
  </bookViews>
  <sheets>
    <sheet name="Object List" sheetId="1" r:id="rId1"/>
    <sheet name="Sheet2" sheetId="2" r:id="rId2"/>
    <sheet name="Sheet3" sheetId="3" r:id="rId3"/>
    <sheet name="Colour codes" sheetId="4" r:id="rId4"/>
  </sheets>
  <functionGroups/>
  <definedNames>
    <definedName name="_xlnm._FilterDatabase" localSheetId="0" hidden="1">'Object List'!$A$1:$P$258</definedName>
  </definedNames>
  <calcPr calcId="125725"/>
</workbook>
</file>

<file path=xl/calcChain.xml><?xml version="1.0" encoding="utf-8"?>
<calcChain xmlns="http://schemas.openxmlformats.org/spreadsheetml/2006/main">
  <c r="D12" i="2"/>
  <c r="C12"/>
  <c r="G4" i="3" l="1"/>
  <c r="G5"/>
  <c r="G6"/>
  <c r="G3"/>
  <c r="G2"/>
  <c r="D7"/>
  <c r="D6"/>
  <c r="D5"/>
  <c r="D4"/>
  <c r="D3"/>
  <c r="D2"/>
</calcChain>
</file>

<file path=xl/sharedStrings.xml><?xml version="1.0" encoding="utf-8"?>
<sst xmlns="http://schemas.openxmlformats.org/spreadsheetml/2006/main" count="2101" uniqueCount="586">
  <si>
    <t>way</t>
  </si>
  <si>
    <t>relation</t>
  </si>
  <si>
    <t xml:space="preserve"> </t>
  </si>
  <si>
    <t xml:space="preserve"> building=yes</t>
  </si>
  <si>
    <t xml:space="preserve"> building=church</t>
  </si>
  <si>
    <t xml:space="preserve"> building=yes man_made=tower</t>
  </si>
  <si>
    <t xml:space="preserve"> building=cathedral</t>
  </si>
  <si>
    <t>OSM ID</t>
  </si>
  <si>
    <t xml:space="preserve">описание </t>
  </si>
  <si>
    <t>Ключевые теги</t>
  </si>
  <si>
    <t>Тип</t>
  </si>
  <si>
    <t xml:space="preserve"> building=chapel</t>
  </si>
  <si>
    <t xml:space="preserve"> building=church man_made=campanile</t>
  </si>
  <si>
    <t xml:space="preserve"> building=chapel man_made=campanile</t>
  </si>
  <si>
    <t>lat</t>
  </si>
  <si>
    <t>lon</t>
  </si>
  <si>
    <t>тип здания</t>
  </si>
  <si>
    <t>CHURCH</t>
  </si>
  <si>
    <t>CHAPEL</t>
  </si>
  <si>
    <t>RUSSIAN ORTHODOX CHURCH</t>
  </si>
  <si>
    <t>RUSSIAN ORTHODOX CHAPEL</t>
  </si>
  <si>
    <t xml:space="preserve"> building=campanile</t>
  </si>
  <si>
    <t>Размер, м</t>
  </si>
  <si>
    <t>Высота, м</t>
  </si>
  <si>
    <t>Цвет</t>
  </si>
  <si>
    <t>Материал</t>
  </si>
  <si>
    <t>RUSSIAN ORTHODOX CAMPANILE</t>
  </si>
  <si>
    <t>CAMPANILE</t>
  </si>
  <si>
    <t>DEFENSIVE TOWER</t>
  </si>
  <si>
    <t>wood</t>
  </si>
  <si>
    <t>white</t>
  </si>
  <si>
    <t>plaster</t>
  </si>
  <si>
    <t xml:space="preserve">Пятницкая башня </t>
  </si>
  <si>
    <t xml:space="preserve">Плотничья башня </t>
  </si>
  <si>
    <t xml:space="preserve">Уточья башня </t>
  </si>
  <si>
    <t xml:space="preserve">Водяная башня </t>
  </si>
  <si>
    <t xml:space="preserve">Звонковая башня </t>
  </si>
  <si>
    <t xml:space="preserve">Луковая башня </t>
  </si>
  <si>
    <t xml:space="preserve">Каличья башня </t>
  </si>
  <si>
    <t xml:space="preserve">Сушильная башня </t>
  </si>
  <si>
    <t xml:space="preserve">Пивная башня </t>
  </si>
  <si>
    <t xml:space="preserve">Колокольня </t>
  </si>
  <si>
    <t xml:space="preserve">Собор Троицы Живоначальной </t>
  </si>
  <si>
    <t xml:space="preserve">Церковь Смоленской иконы Божией Матери </t>
  </si>
  <si>
    <t xml:space="preserve">Церковь Сошествия Святого Духа </t>
  </si>
  <si>
    <t xml:space="preserve">Церковь Пантелеимона Целителя </t>
  </si>
  <si>
    <t xml:space="preserve">Церковь Усекновения Главы Иоанна Предтечи </t>
  </si>
  <si>
    <t xml:space="preserve">Часовня Иконы Божией Матери Иверская </t>
  </si>
  <si>
    <t xml:space="preserve">Церковь Пантелеймона Целителя </t>
  </si>
  <si>
    <t xml:space="preserve">Церковь Николая Чудотворца </t>
  </si>
  <si>
    <t xml:space="preserve">Церковь Симеона Столпника </t>
  </si>
  <si>
    <t xml:space="preserve">Спасо-Преображенский собор </t>
  </si>
  <si>
    <t xml:space="preserve">Владимирский собор </t>
  </si>
  <si>
    <t xml:space="preserve">Церковь Петра Митрополита </t>
  </si>
  <si>
    <t xml:space="preserve">Церковь Александра Невского </t>
  </si>
  <si>
    <t xml:space="preserve">Покровская церковь </t>
  </si>
  <si>
    <t xml:space="preserve">Знаменская церковь </t>
  </si>
  <si>
    <t xml:space="preserve">Смоленско-Корнилиевская церковь </t>
  </si>
  <si>
    <t xml:space="preserve">Черниговская часовня </t>
  </si>
  <si>
    <t xml:space="preserve">Троицкий собор 1530-1532 гг с Даниловским приделом и колокольней XVII в. </t>
  </si>
  <si>
    <t xml:space="preserve">Корпус братских келий </t>
  </si>
  <si>
    <t xml:space="preserve">Церковь Воздвижения Честного Креста Господня </t>
  </si>
  <si>
    <t xml:space="preserve">Церковь Вознесения Господня </t>
  </si>
  <si>
    <t xml:space="preserve">Церковь Спаса Нерукотворного Образа </t>
  </si>
  <si>
    <t xml:space="preserve">Церковь Собора Иоанна Предтечи </t>
  </si>
  <si>
    <t xml:space="preserve">Часовня </t>
  </si>
  <si>
    <t xml:space="preserve">Храм Иоанна Богослова </t>
  </si>
  <si>
    <t xml:space="preserve">храм Преображения Господня </t>
  </si>
  <si>
    <t xml:space="preserve">Церковь Иконы Божией Матери Казанская </t>
  </si>
  <si>
    <t xml:space="preserve">Церковь Иконы Божией Матери Боголюбская </t>
  </si>
  <si>
    <t xml:space="preserve">Церковь Серафима Саровского </t>
  </si>
  <si>
    <t xml:space="preserve">Часовня в Илейкино </t>
  </si>
  <si>
    <t xml:space="preserve">Церковь Успения Пресвятой Богородицы </t>
  </si>
  <si>
    <t xml:space="preserve">Церковь Распятия Христова </t>
  </si>
  <si>
    <t xml:space="preserve">Церковь Покрова Пресвятой Богородицы </t>
  </si>
  <si>
    <t xml:space="preserve">Часовня надкладезная </t>
  </si>
  <si>
    <t xml:space="preserve">Церковь Сретения Господня </t>
  </si>
  <si>
    <t xml:space="preserve">Церковь Преображения Господня </t>
  </si>
  <si>
    <t xml:space="preserve">Церковь Троицы Живоначальной </t>
  </si>
  <si>
    <t xml:space="preserve">Церковь Явления Пресвятой Богородицы Сергию и Михею Радонежским </t>
  </si>
  <si>
    <t xml:space="preserve">Церковь Иоанна Богослова </t>
  </si>
  <si>
    <t xml:space="preserve">Церковь Иконы Божией Матери Неупиваемая Чаша </t>
  </si>
  <si>
    <t xml:space="preserve">Часовня Иконы Божией Матери Неупиваемая Чаша и Иконы Божией Матери Живоносный Источник </t>
  </si>
  <si>
    <t xml:space="preserve">Церковь Илии Пророка </t>
  </si>
  <si>
    <t xml:space="preserve">Церковь Сергия Радонежского </t>
  </si>
  <si>
    <t xml:space="preserve">Церковь Воскресения Словущего </t>
  </si>
  <si>
    <t xml:space="preserve">Церковь Иоанна Воина </t>
  </si>
  <si>
    <t xml:space="preserve">Собор Рождества Пресвятой Богородицы </t>
  </si>
  <si>
    <t xml:space="preserve">Церковь Богоявления Господня </t>
  </si>
  <si>
    <t xml:space="preserve">Храм Рождества Богородицы </t>
  </si>
  <si>
    <t xml:space="preserve">Церковь Георгия Победоносца </t>
  </si>
  <si>
    <t xml:space="preserve">Церковь Черниговской Божией Матери </t>
  </si>
  <si>
    <t xml:space="preserve">Храм Смоленской иконы Божией Матери </t>
  </si>
  <si>
    <t xml:space="preserve">Церковь святого Георгия </t>
  </si>
  <si>
    <t xml:space="preserve">Церковь Введения Пресвятой Богородицы </t>
  </si>
  <si>
    <t xml:space="preserve">Церковь Рождества Иоанна Предтечи </t>
  </si>
  <si>
    <t xml:space="preserve">Успенский кладезь с часовней </t>
  </si>
  <si>
    <t xml:space="preserve">Церковь Феодора Стратилата </t>
  </si>
  <si>
    <t xml:space="preserve">Церковь Рождества Пресвятой Богородицы </t>
  </si>
  <si>
    <t xml:space="preserve">Собор Рождества Христова </t>
  </si>
  <si>
    <t xml:space="preserve">Церковь Иконы Божией Матери Тихвинская </t>
  </si>
  <si>
    <t xml:space="preserve">Собор Иконы Божией Матери Смоленская </t>
  </si>
  <si>
    <t xml:space="preserve">Церковь Всех Святых </t>
  </si>
  <si>
    <t xml:space="preserve">Церковь Сорока мучеников Севастийских </t>
  </si>
  <si>
    <t xml:space="preserve">Церковь Иконы Божией Матери Владимирская </t>
  </si>
  <si>
    <t xml:space="preserve">Церковь Димитрия Солунского </t>
  </si>
  <si>
    <t xml:space="preserve">Церковь Екатерины Великомученицы </t>
  </si>
  <si>
    <t xml:space="preserve">Церковь Стефана Махрищского </t>
  </si>
  <si>
    <t xml:space="preserve">Собор Благовещения Пресвятой Богородицы </t>
  </si>
  <si>
    <t xml:space="preserve">Церковь Происхождения Честных Древ Креста Господня </t>
  </si>
  <si>
    <t xml:space="preserve">Часовня Иконы Божией Матери Страстная </t>
  </si>
  <si>
    <t xml:space="preserve">Церковь Благовещения Пресвятой Богородицы </t>
  </si>
  <si>
    <t xml:space="preserve">часовня </t>
  </si>
  <si>
    <t xml:space="preserve">Собор Сошествия Святого Духа </t>
  </si>
  <si>
    <t xml:space="preserve">Церковь Алексия, митрополита Московского </t>
  </si>
  <si>
    <t xml:space="preserve">Церковь Михаила Архангела </t>
  </si>
  <si>
    <t xml:space="preserve">Церковь Иконы Божией Матери Корсунская </t>
  </si>
  <si>
    <t xml:space="preserve">Церковь Святого Духа Утешителя </t>
  </si>
  <si>
    <t xml:space="preserve">Церковь Спаса Всемилостивого </t>
  </si>
  <si>
    <t xml:space="preserve">Собор Иконы Божией Матери Черниговская-Гефсиманская </t>
  </si>
  <si>
    <t xml:space="preserve">Часовня св. Николая </t>
  </si>
  <si>
    <t xml:space="preserve">Церковь Никона Радонежского </t>
  </si>
  <si>
    <t xml:space="preserve">Церковь Рождества Христова </t>
  </si>
  <si>
    <t xml:space="preserve">Церковь Собора Зосимовских Святых </t>
  </si>
  <si>
    <t xml:space="preserve">Церковь Всех Святых, в Земле Российской Просиявших </t>
  </si>
  <si>
    <t xml:space="preserve">Собор Успения Пресвятой Богородицы </t>
  </si>
  <si>
    <t xml:space="preserve">Церковь Иконы Божией Матери Живоносный Источник </t>
  </si>
  <si>
    <t xml:space="preserve">Успенские ворота </t>
  </si>
  <si>
    <t xml:space="preserve"> barrier=city_wall building=yes</t>
  </si>
  <si>
    <t>DEFENSIVE WALL</t>
  </si>
  <si>
    <t>OSM 3D</t>
  </si>
  <si>
    <t>red</t>
  </si>
  <si>
    <t>brick</t>
  </si>
  <si>
    <t xml:space="preserve">Колокольня Черниговского скита </t>
  </si>
  <si>
    <t xml:space="preserve"> building=bell_tower</t>
  </si>
  <si>
    <t>orangered</t>
  </si>
  <si>
    <t>"1-10"</t>
  </si>
  <si>
    <t>"10-20"</t>
  </si>
  <si>
    <t>20-30</t>
  </si>
  <si>
    <t>30-40</t>
  </si>
  <si>
    <t>40-50</t>
  </si>
  <si>
    <t>50+</t>
  </si>
  <si>
    <t>FAC</t>
  </si>
  <si>
    <t>DSF TYPE</t>
  </si>
  <si>
    <t>Match</t>
  </si>
  <si>
    <t>OBJ</t>
  </si>
  <si>
    <t>Церковь Бориса и Глеба сейчас в процессе реставрации</t>
  </si>
  <si>
    <t>orange</t>
  </si>
  <si>
    <t>Стиль</t>
  </si>
  <si>
    <t>neoclassicism</t>
  </si>
  <si>
    <t xml:space="preserve">Никоновский придел </t>
  </si>
  <si>
    <t>baroque</t>
  </si>
  <si>
    <t xml:space="preserve">Церковь Параскевы (Пятницы) Великомученицы </t>
  </si>
  <si>
    <t>red;white</t>
  </si>
  <si>
    <t xml:space="preserve">Часовня Пятницкого Колодца </t>
  </si>
  <si>
    <t xml:space="preserve">Церковь Похвалы Богородицы </t>
  </si>
  <si>
    <t xml:space="preserve">Часовня «Столп» </t>
  </si>
  <si>
    <t xml:space="preserve">Трапезная и настоятельские покои </t>
  </si>
  <si>
    <t>~old_russian</t>
  </si>
  <si>
    <t>~baroque</t>
  </si>
  <si>
    <t>~contemporary</t>
  </si>
  <si>
    <t>~pseudo-russian</t>
  </si>
  <si>
    <t>~neoclassicism</t>
  </si>
  <si>
    <t>pseudo-russian</t>
  </si>
  <si>
    <t>soviet</t>
  </si>
  <si>
    <t>total with style</t>
  </si>
  <si>
    <t>Color name</t>
  </si>
  <si>
    <t>Hex rgb</t>
  </si>
  <si>
    <t>Decimal</t>
  </si>
  <si>
    <t>aliceblue</t>
  </si>
  <si>
    <t>#F0F8FF</t>
  </si>
  <si>
    <t>antiquewhite</t>
  </si>
  <si>
    <t>#FAEBD7</t>
  </si>
  <si>
    <t>aqua</t>
  </si>
  <si>
    <t>#00FFFF</t>
  </si>
  <si>
    <t>0,255,255</t>
  </si>
  <si>
    <t>aquamarine</t>
  </si>
  <si>
    <t>#7FFFD4</t>
  </si>
  <si>
    <t>azure</t>
  </si>
  <si>
    <t>#F0FFFF</t>
  </si>
  <si>
    <t>beige</t>
  </si>
  <si>
    <t>#F5F5DC</t>
  </si>
  <si>
    <t>bisque</t>
  </si>
  <si>
    <t>#FFE4C4</t>
  </si>
  <si>
    <t>black</t>
  </si>
  <si>
    <t>#000000</t>
  </si>
  <si>
    <t>0,0,0</t>
  </si>
  <si>
    <t>blanchedalmond</t>
  </si>
  <si>
    <t>#FFEBCD</t>
  </si>
  <si>
    <t>blue</t>
  </si>
  <si>
    <t>#0000FF</t>
  </si>
  <si>
    <t>0,0,255</t>
  </si>
  <si>
    <t>blueviolet</t>
  </si>
  <si>
    <t>#8A2BE2</t>
  </si>
  <si>
    <t>138,43,226</t>
  </si>
  <si>
    <t>brown</t>
  </si>
  <si>
    <t>#A52A2A</t>
  </si>
  <si>
    <t>165,42,42</t>
  </si>
  <si>
    <t>burlywood</t>
  </si>
  <si>
    <t>#DEB887</t>
  </si>
  <si>
    <t>cadetblue</t>
  </si>
  <si>
    <t>#5F9EA0</t>
  </si>
  <si>
    <t>chartreuse</t>
  </si>
  <si>
    <t>#7FFF00</t>
  </si>
  <si>
    <t>127,255,0</t>
  </si>
  <si>
    <t>chocolate</t>
  </si>
  <si>
    <t>#D2691E</t>
  </si>
  <si>
    <t>210,105,30</t>
  </si>
  <si>
    <t>coral</t>
  </si>
  <si>
    <t>#FF7F50</t>
  </si>
  <si>
    <t>255,127,80</t>
  </si>
  <si>
    <t>cornflowerblue</t>
  </si>
  <si>
    <t>#6495ED</t>
  </si>
  <si>
    <t>cornsilk</t>
  </si>
  <si>
    <t>#FFF8DC</t>
  </si>
  <si>
    <t>crimson</t>
  </si>
  <si>
    <t>#DC143C</t>
  </si>
  <si>
    <t>220,20,60</t>
  </si>
  <si>
    <t>cyan</t>
  </si>
  <si>
    <t>darkblue</t>
  </si>
  <si>
    <t>#00008B</t>
  </si>
  <si>
    <t>0,0,139</t>
  </si>
  <si>
    <t>darkcyan</t>
  </si>
  <si>
    <t>#008B8B</t>
  </si>
  <si>
    <t>0,139,139</t>
  </si>
  <si>
    <t>darkgoldenrod</t>
  </si>
  <si>
    <t>#B8860B</t>
  </si>
  <si>
    <t>184,134,11</t>
  </si>
  <si>
    <t>darkgray</t>
  </si>
  <si>
    <t>#A9A9A9</t>
  </si>
  <si>
    <t>darkgreen</t>
  </si>
  <si>
    <t>#006400</t>
  </si>
  <si>
    <t>0,100,0</t>
  </si>
  <si>
    <t>darkgrey</t>
  </si>
  <si>
    <t>darkkhaki</t>
  </si>
  <si>
    <t>#BDB76B</t>
  </si>
  <si>
    <t>darkmagenta</t>
  </si>
  <si>
    <t>#8B008B</t>
  </si>
  <si>
    <t>139,0,139</t>
  </si>
  <si>
    <t>;</t>
  </si>
  <si>
    <t>darkolivegreen</t>
  </si>
  <si>
    <t>#556B2F</t>
  </si>
  <si>
    <t>85,107,47</t>
  </si>
  <si>
    <t>darkorange</t>
  </si>
  <si>
    <t>#FF8C00</t>
  </si>
  <si>
    <t>255,140,0</t>
  </si>
  <si>
    <t>darkorchid</t>
  </si>
  <si>
    <t>#9932CC</t>
  </si>
  <si>
    <t>153,50,204</t>
  </si>
  <si>
    <t>darkred</t>
  </si>
  <si>
    <t>#8B0000</t>
  </si>
  <si>
    <t>139,0,0</t>
  </si>
  <si>
    <t>darksalmon</t>
  </si>
  <si>
    <t>#E9967A</t>
  </si>
  <si>
    <t>darkseagreen</t>
  </si>
  <si>
    <t>#8FBC8F</t>
  </si>
  <si>
    <t>darkslateblue</t>
  </si>
  <si>
    <t>#483D8B</t>
  </si>
  <si>
    <t>72,61,139</t>
  </si>
  <si>
    <t>darkslategray</t>
  </si>
  <si>
    <t>#2F4F4F</t>
  </si>
  <si>
    <t>47,79,79</t>
  </si>
  <si>
    <t>darkslategrey</t>
  </si>
  <si>
    <t>darkturquoise</t>
  </si>
  <si>
    <t>#00CED1</t>
  </si>
  <si>
    <t>0,206,209</t>
  </si>
  <si>
    <t>darkviolet</t>
  </si>
  <si>
    <t>#9400D3</t>
  </si>
  <si>
    <t>148,0,211</t>
  </si>
  <si>
    <t>deeppink</t>
  </si>
  <si>
    <t>#FF1493</t>
  </si>
  <si>
    <t>255,20,147</t>
  </si>
  <si>
    <t>deepskyblue</t>
  </si>
  <si>
    <t>#00BFFF</t>
  </si>
  <si>
    <t>0,191,255</t>
  </si>
  <si>
    <t>dimgray</t>
  </si>
  <si>
    <t>#696969</t>
  </si>
  <si>
    <t>dimgrey</t>
  </si>
  <si>
    <t>dodgerblue</t>
  </si>
  <si>
    <t>#1E90FF</t>
  </si>
  <si>
    <t>firebrick</t>
  </si>
  <si>
    <t>#B22222</t>
  </si>
  <si>
    <t>178,34,34</t>
  </si>
  <si>
    <t>floralwhite</t>
  </si>
  <si>
    <t>#FFFAF0</t>
  </si>
  <si>
    <t>forestgreen</t>
  </si>
  <si>
    <t>#228B22</t>
  </si>
  <si>
    <t>34,139,34</t>
  </si>
  <si>
    <t>fuchsia</t>
  </si>
  <si>
    <t>#FF00FF</t>
  </si>
  <si>
    <t>255,0,255</t>
  </si>
  <si>
    <t>gainsboro</t>
  </si>
  <si>
    <t>#DCDCDC</t>
  </si>
  <si>
    <t>ghostwhite</t>
  </si>
  <si>
    <t>#F8F8FF</t>
  </si>
  <si>
    <t>gold</t>
  </si>
  <si>
    <t>#FFD700</t>
  </si>
  <si>
    <t>255,215,0</t>
  </si>
  <si>
    <t>goldenrod</t>
  </si>
  <si>
    <t>#DAA520</t>
  </si>
  <si>
    <t>218,165,32</t>
  </si>
  <si>
    <t>gray</t>
  </si>
  <si>
    <t>#808080</t>
  </si>
  <si>
    <t>green</t>
  </si>
  <si>
    <t>#008000</t>
  </si>
  <si>
    <t>0,128,0</t>
  </si>
  <si>
    <t>greenyellow</t>
  </si>
  <si>
    <t>#ADFF2F</t>
  </si>
  <si>
    <t>173,255,47</t>
  </si>
  <si>
    <t>grey</t>
  </si>
  <si>
    <t>honeydew</t>
  </si>
  <si>
    <t>#F0FFF0</t>
  </si>
  <si>
    <t>hotpink</t>
  </si>
  <si>
    <t>#FF69B4</t>
  </si>
  <si>
    <t>indianred</t>
  </si>
  <si>
    <t>#CD5C5C</t>
  </si>
  <si>
    <t>205,92,92</t>
  </si>
  <si>
    <t>indigo</t>
  </si>
  <si>
    <t>#4B0082</t>
  </si>
  <si>
    <t>75,0,130</t>
  </si>
  <si>
    <t>ivory</t>
  </si>
  <si>
    <t>#FFFFF0</t>
  </si>
  <si>
    <t>khaki</t>
  </si>
  <si>
    <t>#F0E68C</t>
  </si>
  <si>
    <t>lavender</t>
  </si>
  <si>
    <t>#E6E6FA</t>
  </si>
  <si>
    <t>lavenderblush</t>
  </si>
  <si>
    <t>#FFF0F5</t>
  </si>
  <si>
    <t>lawngreen</t>
  </si>
  <si>
    <t>#7CFC00</t>
  </si>
  <si>
    <t>124,252,0</t>
  </si>
  <si>
    <t>lemonchiffon</t>
  </si>
  <si>
    <t>#FFFACD</t>
  </si>
  <si>
    <t>lightblue</t>
  </si>
  <si>
    <t>#ADD8E6</t>
  </si>
  <si>
    <t>lightcoral</t>
  </si>
  <si>
    <t>#F08080</t>
  </si>
  <si>
    <t>lightcyan</t>
  </si>
  <si>
    <t>#E0FFFF</t>
  </si>
  <si>
    <t>lightgoldenrodyellow</t>
  </si>
  <si>
    <t>#FAFAD2</t>
  </si>
  <si>
    <t>lightgray</t>
  </si>
  <si>
    <t>#D3D3D3</t>
  </si>
  <si>
    <t>lightgreen</t>
  </si>
  <si>
    <t>#90EE90</t>
  </si>
  <si>
    <t>lightgrey</t>
  </si>
  <si>
    <t>lightpink</t>
  </si>
  <si>
    <t>#FFB6C1</t>
  </si>
  <si>
    <t>lightsalmon</t>
  </si>
  <si>
    <t>#FFA07A</t>
  </si>
  <si>
    <t>lightseagreen</t>
  </si>
  <si>
    <t>#20B2AA</t>
  </si>
  <si>
    <t>lightskyblue</t>
  </si>
  <si>
    <t>#87CEFA</t>
  </si>
  <si>
    <t>lightslategray</t>
  </si>
  <si>
    <t>#778899</t>
  </si>
  <si>
    <t>lightslategrey</t>
  </si>
  <si>
    <t>lightsteelblue</t>
  </si>
  <si>
    <t>#B0C4DE</t>
  </si>
  <si>
    <t>lightyellow</t>
  </si>
  <si>
    <t>#FFFFE0</t>
  </si>
  <si>
    <t>lime</t>
  </si>
  <si>
    <t>#00FF00</t>
  </si>
  <si>
    <t>0,255,0</t>
  </si>
  <si>
    <t>limegreen</t>
  </si>
  <si>
    <t>#32CD32</t>
  </si>
  <si>
    <t>50,205,50</t>
  </si>
  <si>
    <t>linen</t>
  </si>
  <si>
    <t>#FAF0E6</t>
  </si>
  <si>
    <t>magenta</t>
  </si>
  <si>
    <t>maroon</t>
  </si>
  <si>
    <t>#800000</t>
  </si>
  <si>
    <t>128,0,0</t>
  </si>
  <si>
    <t>mediumaquamarine</t>
  </si>
  <si>
    <t>#66CDAA</t>
  </si>
  <si>
    <t>mediumblue</t>
  </si>
  <si>
    <t>#0000CD</t>
  </si>
  <si>
    <t>0,0,205</t>
  </si>
  <si>
    <t>mediumorchid</t>
  </si>
  <si>
    <t>#BA55D3</t>
  </si>
  <si>
    <t>186,85,211</t>
  </si>
  <si>
    <t>mediumpurple</t>
  </si>
  <si>
    <t>#9370DB</t>
  </si>
  <si>
    <t>mediumseagreen</t>
  </si>
  <si>
    <t>#3CB371</t>
  </si>
  <si>
    <t>mediumslateblue</t>
  </si>
  <si>
    <t>#7B68EE</t>
  </si>
  <si>
    <t>mediumspringgreen</t>
  </si>
  <si>
    <t>#00FA9A</t>
  </si>
  <si>
    <t>0,250,154</t>
  </si>
  <si>
    <t>mediumturquoise</t>
  </si>
  <si>
    <t>#48D1CC</t>
  </si>
  <si>
    <t>mediumvioletred</t>
  </si>
  <si>
    <t>#C71585</t>
  </si>
  <si>
    <t>199,21,133</t>
  </si>
  <si>
    <t>midnightblue</t>
  </si>
  <si>
    <t>#191970</t>
  </si>
  <si>
    <t>25,25,112</t>
  </si>
  <si>
    <t>mintcream</t>
  </si>
  <si>
    <t>#F5FFFA</t>
  </si>
  <si>
    <t>mistyrose</t>
  </si>
  <si>
    <t>#FFE4E1</t>
  </si>
  <si>
    <t>moccasin</t>
  </si>
  <si>
    <t>#FFE4B5</t>
  </si>
  <si>
    <t>navajowhite</t>
  </si>
  <si>
    <t>#FFDEAD</t>
  </si>
  <si>
    <t>navy</t>
  </si>
  <si>
    <t>#000080</t>
  </si>
  <si>
    <t>0,0,128</t>
  </si>
  <si>
    <t>oldlace</t>
  </si>
  <si>
    <t>#FDF5E6</t>
  </si>
  <si>
    <t>olive</t>
  </si>
  <si>
    <t>#808000</t>
  </si>
  <si>
    <t>128,128,0</t>
  </si>
  <si>
    <t>olivedrab</t>
  </si>
  <si>
    <t>#6B8E23</t>
  </si>
  <si>
    <t>107,142,35</t>
  </si>
  <si>
    <t>#FFA500</t>
  </si>
  <si>
    <t>255,165,0</t>
  </si>
  <si>
    <t>#FF4500</t>
  </si>
  <si>
    <t>255,69,0</t>
  </si>
  <si>
    <t>orchid</t>
  </si>
  <si>
    <t>#DA70D6</t>
  </si>
  <si>
    <t>palegoldenrod</t>
  </si>
  <si>
    <t>#EEE8AA</t>
  </si>
  <si>
    <t>palegreen</t>
  </si>
  <si>
    <t>#98FB98</t>
  </si>
  <si>
    <t>paleturquoise</t>
  </si>
  <si>
    <t>#AFEEEE</t>
  </si>
  <si>
    <t>palevioletred</t>
  </si>
  <si>
    <t>#DB7093</t>
  </si>
  <si>
    <t>papayawhip</t>
  </si>
  <si>
    <t>#FFEFD5</t>
  </si>
  <si>
    <t>peachpuff</t>
  </si>
  <si>
    <t>#FFDAB9</t>
  </si>
  <si>
    <t>peru</t>
  </si>
  <si>
    <t>#CD853F</t>
  </si>
  <si>
    <t>205,133,63</t>
  </si>
  <si>
    <t>pink</t>
  </si>
  <si>
    <t>#FFC0CB</t>
  </si>
  <si>
    <t>plum</t>
  </si>
  <si>
    <t>#DDA0DD</t>
  </si>
  <si>
    <t>powderblue</t>
  </si>
  <si>
    <t>#B0E0E6</t>
  </si>
  <si>
    <t>purple</t>
  </si>
  <si>
    <t>#800080</t>
  </si>
  <si>
    <t>128,0,128</t>
  </si>
  <si>
    <t>#FF0000</t>
  </si>
  <si>
    <t>255,0,0</t>
  </si>
  <si>
    <t>rosybrown</t>
  </si>
  <si>
    <t>#BC8F8F</t>
  </si>
  <si>
    <t>royalblue</t>
  </si>
  <si>
    <t>#4169E1</t>
  </si>
  <si>
    <t>saddlebrown</t>
  </si>
  <si>
    <t>#8B4513</t>
  </si>
  <si>
    <t>139,69,19</t>
  </si>
  <si>
    <t>salmon</t>
  </si>
  <si>
    <t>#FA8072</t>
  </si>
  <si>
    <t>sandybrown</t>
  </si>
  <si>
    <t>#F4A460</t>
  </si>
  <si>
    <t>244,164,96</t>
  </si>
  <si>
    <t>seagreen</t>
  </si>
  <si>
    <t>#2E8B57</t>
  </si>
  <si>
    <t>46,139,87</t>
  </si>
  <si>
    <t>seashell</t>
  </si>
  <si>
    <t>#FFF5EE</t>
  </si>
  <si>
    <t>sienna</t>
  </si>
  <si>
    <t>#A0522D</t>
  </si>
  <si>
    <t>160,82,45</t>
  </si>
  <si>
    <t>silver</t>
  </si>
  <si>
    <t>#C0C0C0</t>
  </si>
  <si>
    <t>skyblue</t>
  </si>
  <si>
    <t>#87CEEB</t>
  </si>
  <si>
    <t>slateblue</t>
  </si>
  <si>
    <t>#6A5ACD</t>
  </si>
  <si>
    <t>106,90,205</t>
  </si>
  <si>
    <t>slategray</t>
  </si>
  <si>
    <t>#708090</t>
  </si>
  <si>
    <t>slategrey</t>
  </si>
  <si>
    <t>snow</t>
  </si>
  <si>
    <t>#FFFAFA</t>
  </si>
  <si>
    <t>springgreen</t>
  </si>
  <si>
    <t>#00FF7F</t>
  </si>
  <si>
    <t>0,255,127</t>
  </si>
  <si>
    <t>steelblue</t>
  </si>
  <si>
    <t>#4682B4</t>
  </si>
  <si>
    <t>tan</t>
  </si>
  <si>
    <t>#D2B48C</t>
  </si>
  <si>
    <t>teal</t>
  </si>
  <si>
    <t>#008080</t>
  </si>
  <si>
    <t>0,128,128</t>
  </si>
  <si>
    <t>thistle</t>
  </si>
  <si>
    <t>#D8BFD8</t>
  </si>
  <si>
    <t>tomato</t>
  </si>
  <si>
    <t>#FF6347</t>
  </si>
  <si>
    <t>255,99,71</t>
  </si>
  <si>
    <t>turquoise</t>
  </si>
  <si>
    <t>#40E0D0</t>
  </si>
  <si>
    <t>violet</t>
  </si>
  <si>
    <t>#EE82EE</t>
  </si>
  <si>
    <t>wheat</t>
  </si>
  <si>
    <t>#F5DEB3</t>
  </si>
  <si>
    <t>#FFFFFF</t>
  </si>
  <si>
    <t>whitesmoke</t>
  </si>
  <si>
    <t>#F5F5F5</t>
  </si>
  <si>
    <t>yellow</t>
  </si>
  <si>
    <t>#FFFF00</t>
  </si>
  <si>
    <t>255,255,0</t>
  </si>
  <si>
    <t>yellowgreen</t>
  </si>
  <si>
    <t>#9ACD32</t>
  </si>
  <si>
    <t>154,205,50</t>
  </si>
  <si>
    <t>Named</t>
  </si>
  <si>
    <t>Numeric</t>
  </si>
  <si>
    <t xml:space="preserve">Церковь Всех Святых с Трапезной палатой. </t>
  </si>
  <si>
    <t>Церковь Благовещения Пресвятой Богородицы Церковь Благовещения с трапезной и колокольней XI-XII вв.</t>
  </si>
  <si>
    <t xml:space="preserve">Собор Никиты Великомученика </t>
  </si>
  <si>
    <t xml:space="preserve">Церковь Гавриила Архангела </t>
  </si>
  <si>
    <t>Часовня Георгия Победоносца Часовня из дерева Фонинское. Конец XIX в.</t>
  </si>
  <si>
    <t>match2</t>
  </si>
  <si>
    <t>Церковь Успения Пресвятой Богородицы Построена в 2004 по образцу церкви соседнего села Семёновского, разрушенной в 1930-х.</t>
  </si>
  <si>
    <t>motley</t>
  </si>
  <si>
    <t xml:space="preserve">Купель </t>
  </si>
  <si>
    <t xml:space="preserve"> building=font</t>
  </si>
  <si>
    <t xml:space="preserve">Часовня Луки Апостола </t>
  </si>
  <si>
    <t xml:space="preserve">Часовня Димитрия Прилуцкого </t>
  </si>
  <si>
    <t>Собор Николая Чудотворца По архитектуре близок к соборным храмам XVI в.</t>
  </si>
  <si>
    <t>Церковь Петра и Павла надвратная церковь</t>
  </si>
  <si>
    <t xml:space="preserve">Церковь Бориса и Глеба </t>
  </si>
  <si>
    <t xml:space="preserve">Часовня Серафима Саровского </t>
  </si>
  <si>
    <t>Церковь Усекновения Главы Иоанна Предтечи Трёхпролетная звонница сооружена в духе ростовских звонниц XVI в.</t>
  </si>
  <si>
    <t>Церковь Благовещения Пресвятой Богородицы заброшена, большая часть сводов и перекрытий утрачена.</t>
  </si>
  <si>
    <t xml:space="preserve">Церковь Николая II Царя-страстотерпца </t>
  </si>
  <si>
    <t>Церковь Илии Пророка заброшена, в тяжёлом состоянии</t>
  </si>
  <si>
    <t xml:space="preserve">Церковь Ксении Петербургской </t>
  </si>
  <si>
    <t xml:space="preserve">колокольня </t>
  </si>
  <si>
    <t xml:space="preserve">Церковь Марии Магдалины </t>
  </si>
  <si>
    <t xml:space="preserve">Церковь иконы Божией Матери "Взыскание погибших" </t>
  </si>
  <si>
    <t>ts_lavra_fortress_tower02</t>
  </si>
  <si>
    <t>ts_lavra_fortress_tower04</t>
  </si>
  <si>
    <t>ts_lavra_fortress_tower01</t>
  </si>
  <si>
    <t>ts_lavra_fortress_tower03</t>
  </si>
  <si>
    <t>ts_lavra_fortress_tower06</t>
  </si>
  <si>
    <t>ts_lavra_fortress_tower07</t>
  </si>
  <si>
    <t>ts_lavra_belltower</t>
  </si>
  <si>
    <t>ts_lavra_church02</t>
  </si>
  <si>
    <t>ts_lavra_chapel01</t>
  </si>
  <si>
    <t>church_old_russian_01</t>
  </si>
  <si>
    <t>ts_lavra_church01</t>
  </si>
  <si>
    <t>ts_lavra_sobor01</t>
  </si>
  <si>
    <t>ts_lavra_fortress_tower05</t>
  </si>
  <si>
    <t>church_neoclassical_01</t>
  </si>
  <si>
    <t>Церковь Николая Чудотворца Уцелел только кирпичный четверик без перекрытий</t>
  </si>
  <si>
    <t>white;blue</t>
  </si>
  <si>
    <t xml:space="preserve">Часовня Варвары Великомученицы </t>
  </si>
  <si>
    <t>russian_gothic</t>
  </si>
  <si>
    <t>Церковь Иконы Божией Матери Казанская Ремонтируется</t>
  </si>
  <si>
    <t>Церковь Преображения Господня Оригинальная конструкция: восьмерик по высоте равен колокольне</t>
  </si>
  <si>
    <t>rosybrown;white</t>
  </si>
  <si>
    <t>Церковь Введения Пресвятой Богородицы ремонтируется, состояние здания тяжелое</t>
  </si>
  <si>
    <t>Церковь Рождества Пресвятой Богородицы оригинальная конструкция: высокий четверик с апсидальными алтарем и притвором + колокольня</t>
  </si>
  <si>
    <t>Церковь Всех Святых оригинальная конструкция: надвратное здание увенчано высокой шатровой кровлей и фланкировано башенками</t>
  </si>
  <si>
    <t>Церковь Сергия Радонежского Венчание сломано</t>
  </si>
  <si>
    <t>lightblue;white</t>
  </si>
  <si>
    <t>Церковь Покрова Пресвятой Богородицы Здание сильно разрушено, трапезная сломана</t>
  </si>
  <si>
    <t>cream</t>
  </si>
  <si>
    <t>Церковь Иконы Божией Матери Казанская крестильный храм внешне не выделен</t>
  </si>
  <si>
    <t xml:space="preserve"> building=house</t>
  </si>
  <si>
    <t>RUINED RUSSIAN ORTHODOX CHURCH</t>
  </si>
  <si>
    <t xml:space="preserve">Поминальная часовня </t>
  </si>
  <si>
    <t>light_orange</t>
  </si>
  <si>
    <t>Церковь Лазаря Праведного оригинальная конструкция: звонницы в боковых куполах</t>
  </si>
  <si>
    <t>RUINED RUSSIAN ORTHODOX CAMPANILE</t>
  </si>
  <si>
    <t>~pre-mongolian</t>
  </si>
  <si>
    <t>~uzorochye</t>
  </si>
  <si>
    <t>eclectic</t>
  </si>
  <si>
    <t xml:space="preserve">Часовня Спаса Преображения </t>
  </si>
  <si>
    <t xml:space="preserve">Красногорская часовня </t>
  </si>
  <si>
    <t xml:space="preserve">Храм прп. Алексия Человека Божия </t>
  </si>
  <si>
    <t>ts_lavra_church03</t>
  </si>
  <si>
    <t xml:space="preserve">Водонапорная вышка «50 лет СССР» </t>
  </si>
  <si>
    <t xml:space="preserve"> building=yes man_made=water_tower</t>
  </si>
  <si>
    <t xml:space="preserve"> building=water_tower man_made=water_tower</t>
  </si>
  <si>
    <t>church_baroque_01</t>
  </si>
  <si>
    <t xml:space="preserve"> barrier=fence</t>
  </si>
  <si>
    <t>CHURCH FENCE</t>
  </si>
  <si>
    <t>ts_lavra_church04</t>
  </si>
</sst>
</file>

<file path=xl/styles.xml><?xml version="1.0" encoding="utf-8"?>
<styleSheet xmlns="http://schemas.openxmlformats.org/spreadsheetml/2006/main">
  <numFmts count="2">
    <numFmt numFmtId="164" formatCode="0.000000"/>
    <numFmt numFmtId="165" formatCode="0.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rgb="FFFFFFFF"/>
      <name val="Arial"/>
      <family val="2"/>
      <charset val="204"/>
    </font>
    <font>
      <sz val="14"/>
      <color rgb="FF000000"/>
      <name val="Arial"/>
      <family val="2"/>
      <charset val="204"/>
    </font>
    <font>
      <b/>
      <i/>
      <sz val="14"/>
      <color rgb="FF000000"/>
      <name val="Arial"/>
      <family val="2"/>
      <charset val="204"/>
    </font>
    <font>
      <u/>
      <sz val="11"/>
      <color theme="10"/>
      <name val="Calibri"/>
      <family val="2"/>
    </font>
  </fonts>
  <fills count="1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3">
    <xf numFmtId="0" fontId="0" fillId="0" borderId="0" xfId="0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0" borderId="0" xfId="0" applyFont="1"/>
    <xf numFmtId="164" fontId="0" fillId="0" borderId="0" xfId="0" applyNumberFormat="1"/>
    <xf numFmtId="164" fontId="1" fillId="2" borderId="0" xfId="0" applyNumberFormat="1" applyFont="1" applyFill="1" applyAlignment="1">
      <alignment horizontal="center"/>
    </xf>
    <xf numFmtId="16" fontId="0" fillId="0" borderId="0" xfId="0" applyNumberFormat="1"/>
    <xf numFmtId="0" fontId="2" fillId="3" borderId="0" xfId="0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3" fillId="5" borderId="0" xfId="0" applyFont="1" applyFill="1" applyAlignment="1">
      <alignment horizontal="center" wrapText="1"/>
    </xf>
    <xf numFmtId="3" fontId="3" fillId="5" borderId="0" xfId="0" applyNumberFormat="1" applyFont="1" applyFill="1" applyAlignment="1">
      <alignment horizontal="center" wrapText="1"/>
    </xf>
    <xf numFmtId="0" fontId="3" fillId="6" borderId="1" xfId="0" applyFont="1" applyFill="1" applyBorder="1" applyAlignment="1">
      <alignment horizontal="center" wrapText="1"/>
    </xf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3" fillId="10" borderId="1" xfId="0" applyFont="1" applyFill="1" applyBorder="1" applyAlignment="1">
      <alignment horizontal="center" wrapText="1"/>
    </xf>
    <xf numFmtId="0" fontId="3" fillId="11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3" fillId="12" borderId="1" xfId="0" applyFont="1" applyFill="1" applyBorder="1" applyAlignment="1">
      <alignment horizontal="center" wrapText="1"/>
    </xf>
    <xf numFmtId="0" fontId="3" fillId="13" borderId="1" xfId="0" applyFont="1" applyFill="1" applyBorder="1" applyAlignment="1">
      <alignment horizontal="center" wrapText="1"/>
    </xf>
    <xf numFmtId="0" fontId="3" fillId="14" borderId="1" xfId="0" applyFont="1" applyFill="1" applyBorder="1" applyAlignment="1">
      <alignment horizontal="center" wrapText="1"/>
    </xf>
    <xf numFmtId="0" fontId="3" fillId="15" borderId="1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 wrapText="1"/>
    </xf>
    <xf numFmtId="0" fontId="3" fillId="18" borderId="1" xfId="0" applyFont="1" applyFill="1" applyBorder="1" applyAlignment="1">
      <alignment horizontal="center" wrapText="1"/>
    </xf>
    <xf numFmtId="0" fontId="3" fillId="19" borderId="1" xfId="0" applyFont="1" applyFill="1" applyBorder="1" applyAlignment="1">
      <alignment horizontal="center" wrapText="1"/>
    </xf>
    <xf numFmtId="0" fontId="3" fillId="20" borderId="1" xfId="0" applyFont="1" applyFill="1" applyBorder="1" applyAlignment="1">
      <alignment horizontal="center" wrapText="1"/>
    </xf>
    <xf numFmtId="0" fontId="3" fillId="21" borderId="1" xfId="0" applyFont="1" applyFill="1" applyBorder="1" applyAlignment="1">
      <alignment horizontal="center" wrapText="1"/>
    </xf>
    <xf numFmtId="0" fontId="3" fillId="22" borderId="1" xfId="0" applyFont="1" applyFill="1" applyBorder="1" applyAlignment="1">
      <alignment horizontal="center" wrapText="1"/>
    </xf>
    <xf numFmtId="0" fontId="3" fillId="23" borderId="1" xfId="0" applyFont="1" applyFill="1" applyBorder="1" applyAlignment="1">
      <alignment horizontal="center" wrapText="1"/>
    </xf>
    <xf numFmtId="0" fontId="3" fillId="24" borderId="1" xfId="0" applyFont="1" applyFill="1" applyBorder="1" applyAlignment="1">
      <alignment horizontal="center" wrapText="1"/>
    </xf>
    <xf numFmtId="0" fontId="3" fillId="25" borderId="1" xfId="0" applyFont="1" applyFill="1" applyBorder="1" applyAlignment="1">
      <alignment horizontal="center" wrapText="1"/>
    </xf>
    <xf numFmtId="0" fontId="3" fillId="26" borderId="1" xfId="0" applyFont="1" applyFill="1" applyBorder="1" applyAlignment="1">
      <alignment horizontal="center" wrapText="1"/>
    </xf>
    <xf numFmtId="0" fontId="3" fillId="27" borderId="1" xfId="0" applyFont="1" applyFill="1" applyBorder="1" applyAlignment="1">
      <alignment horizontal="center" wrapText="1"/>
    </xf>
    <xf numFmtId="0" fontId="3" fillId="28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29" borderId="1" xfId="0" applyFont="1" applyFill="1" applyBorder="1" applyAlignment="1">
      <alignment horizontal="center" wrapText="1"/>
    </xf>
    <xf numFmtId="0" fontId="3" fillId="30" borderId="1" xfId="0" applyFont="1" applyFill="1" applyBorder="1" applyAlignment="1">
      <alignment horizontal="center" wrapText="1"/>
    </xf>
    <xf numFmtId="0" fontId="3" fillId="31" borderId="1" xfId="0" applyFont="1" applyFill="1" applyBorder="1" applyAlignment="1">
      <alignment horizontal="center" wrapText="1"/>
    </xf>
    <xf numFmtId="0" fontId="3" fillId="32" borderId="1" xfId="0" applyFont="1" applyFill="1" applyBorder="1" applyAlignment="1">
      <alignment horizontal="center" wrapText="1"/>
    </xf>
    <xf numFmtId="0" fontId="3" fillId="33" borderId="1" xfId="0" applyFont="1" applyFill="1" applyBorder="1" applyAlignment="1">
      <alignment horizontal="center" wrapText="1"/>
    </xf>
    <xf numFmtId="0" fontId="3" fillId="34" borderId="1" xfId="0" applyFont="1" applyFill="1" applyBorder="1" applyAlignment="1">
      <alignment horizontal="center" wrapText="1"/>
    </xf>
    <xf numFmtId="0" fontId="3" fillId="35" borderId="1" xfId="0" applyFont="1" applyFill="1" applyBorder="1" applyAlignment="1">
      <alignment horizontal="center" wrapText="1"/>
    </xf>
    <xf numFmtId="0" fontId="3" fillId="36" borderId="1" xfId="0" applyFont="1" applyFill="1" applyBorder="1" applyAlignment="1">
      <alignment horizontal="center" wrapText="1"/>
    </xf>
    <xf numFmtId="0" fontId="3" fillId="37" borderId="1" xfId="0" applyFont="1" applyFill="1" applyBorder="1" applyAlignment="1">
      <alignment horizontal="center" wrapText="1"/>
    </xf>
    <xf numFmtId="0" fontId="3" fillId="38" borderId="1" xfId="0" applyFont="1" applyFill="1" applyBorder="1" applyAlignment="1">
      <alignment horizontal="center" wrapText="1"/>
    </xf>
    <xf numFmtId="0" fontId="3" fillId="39" borderId="1" xfId="0" applyFont="1" applyFill="1" applyBorder="1" applyAlignment="1">
      <alignment horizontal="center" wrapText="1"/>
    </xf>
    <xf numFmtId="0" fontId="3" fillId="40" borderId="1" xfId="0" applyFont="1" applyFill="1" applyBorder="1" applyAlignment="1">
      <alignment horizontal="center" wrapText="1"/>
    </xf>
    <xf numFmtId="0" fontId="3" fillId="41" borderId="1" xfId="0" applyFont="1" applyFill="1" applyBorder="1" applyAlignment="1">
      <alignment horizontal="center" wrapText="1"/>
    </xf>
    <xf numFmtId="0" fontId="3" fillId="42" borderId="1" xfId="0" applyFont="1" applyFill="1" applyBorder="1" applyAlignment="1">
      <alignment horizontal="center" wrapText="1"/>
    </xf>
    <xf numFmtId="0" fontId="3" fillId="43" borderId="1" xfId="0" applyFont="1" applyFill="1" applyBorder="1" applyAlignment="1">
      <alignment horizontal="center" wrapText="1"/>
    </xf>
    <xf numFmtId="0" fontId="3" fillId="44" borderId="1" xfId="0" applyFont="1" applyFill="1" applyBorder="1" applyAlignment="1">
      <alignment horizontal="center" wrapText="1"/>
    </xf>
    <xf numFmtId="0" fontId="3" fillId="45" borderId="1" xfId="0" applyFont="1" applyFill="1" applyBorder="1" applyAlignment="1">
      <alignment horizontal="center" wrapText="1"/>
    </xf>
    <xf numFmtId="0" fontId="3" fillId="46" borderId="1" xfId="0" applyFont="1" applyFill="1" applyBorder="1" applyAlignment="1">
      <alignment horizontal="center" wrapText="1"/>
    </xf>
    <xf numFmtId="0" fontId="3" fillId="47" borderId="1" xfId="0" applyFont="1" applyFill="1" applyBorder="1" applyAlignment="1">
      <alignment horizontal="center" wrapText="1"/>
    </xf>
    <xf numFmtId="0" fontId="3" fillId="48" borderId="1" xfId="0" applyFont="1" applyFill="1" applyBorder="1" applyAlignment="1">
      <alignment horizontal="center" wrapText="1"/>
    </xf>
    <xf numFmtId="0" fontId="3" fillId="49" borderId="1" xfId="0" applyFont="1" applyFill="1" applyBorder="1" applyAlignment="1">
      <alignment horizontal="center" wrapText="1"/>
    </xf>
    <xf numFmtId="0" fontId="3" fillId="50" borderId="1" xfId="0" applyFont="1" applyFill="1" applyBorder="1" applyAlignment="1">
      <alignment horizontal="center" wrapText="1"/>
    </xf>
    <xf numFmtId="0" fontId="3" fillId="51" borderId="1" xfId="0" applyFont="1" applyFill="1" applyBorder="1" applyAlignment="1">
      <alignment horizontal="center" wrapText="1"/>
    </xf>
    <xf numFmtId="0" fontId="3" fillId="52" borderId="1" xfId="0" applyFont="1" applyFill="1" applyBorder="1" applyAlignment="1">
      <alignment horizontal="center" wrapText="1"/>
    </xf>
    <xf numFmtId="0" fontId="3" fillId="53" borderId="1" xfId="0" applyFont="1" applyFill="1" applyBorder="1" applyAlignment="1">
      <alignment horizontal="center" wrapText="1"/>
    </xf>
    <xf numFmtId="0" fontId="3" fillId="54" borderId="1" xfId="0" applyFont="1" applyFill="1" applyBorder="1" applyAlignment="1">
      <alignment horizontal="center" wrapText="1"/>
    </xf>
    <xf numFmtId="0" fontId="3" fillId="55" borderId="1" xfId="0" applyFont="1" applyFill="1" applyBorder="1" applyAlignment="1">
      <alignment horizontal="center" wrapText="1"/>
    </xf>
    <xf numFmtId="0" fontId="3" fillId="56" borderId="1" xfId="0" applyFont="1" applyFill="1" applyBorder="1" applyAlignment="1">
      <alignment horizontal="center" wrapText="1"/>
    </xf>
    <xf numFmtId="0" fontId="3" fillId="57" borderId="1" xfId="0" applyFont="1" applyFill="1" applyBorder="1" applyAlignment="1">
      <alignment horizontal="center" wrapText="1"/>
    </xf>
    <xf numFmtId="0" fontId="3" fillId="58" borderId="1" xfId="0" applyFont="1" applyFill="1" applyBorder="1" applyAlignment="1">
      <alignment horizontal="center" wrapText="1"/>
    </xf>
    <xf numFmtId="0" fontId="3" fillId="59" borderId="1" xfId="0" applyFont="1" applyFill="1" applyBorder="1" applyAlignment="1">
      <alignment horizontal="center" wrapText="1"/>
    </xf>
    <xf numFmtId="0" fontId="3" fillId="60" borderId="1" xfId="0" applyFont="1" applyFill="1" applyBorder="1" applyAlignment="1">
      <alignment horizontal="center" wrapText="1"/>
    </xf>
    <xf numFmtId="0" fontId="3" fillId="61" borderId="1" xfId="0" applyFont="1" applyFill="1" applyBorder="1" applyAlignment="1">
      <alignment horizontal="center" wrapText="1"/>
    </xf>
    <xf numFmtId="0" fontId="3" fillId="62" borderId="1" xfId="0" applyFont="1" applyFill="1" applyBorder="1" applyAlignment="1">
      <alignment horizontal="center" wrapText="1"/>
    </xf>
    <xf numFmtId="0" fontId="3" fillId="63" borderId="1" xfId="0" applyFont="1" applyFill="1" applyBorder="1" applyAlignment="1">
      <alignment horizontal="center" wrapText="1"/>
    </xf>
    <xf numFmtId="0" fontId="3" fillId="64" borderId="1" xfId="0" applyFont="1" applyFill="1" applyBorder="1" applyAlignment="1">
      <alignment horizontal="center" wrapText="1"/>
    </xf>
    <xf numFmtId="0" fontId="3" fillId="65" borderId="1" xfId="0" applyFont="1" applyFill="1" applyBorder="1" applyAlignment="1">
      <alignment horizontal="center" wrapText="1"/>
    </xf>
    <xf numFmtId="0" fontId="3" fillId="66" borderId="1" xfId="0" applyFont="1" applyFill="1" applyBorder="1" applyAlignment="1">
      <alignment horizontal="center" wrapText="1"/>
    </xf>
    <xf numFmtId="0" fontId="3" fillId="67" borderId="1" xfId="0" applyFont="1" applyFill="1" applyBorder="1" applyAlignment="1">
      <alignment horizontal="center" wrapText="1"/>
    </xf>
    <xf numFmtId="0" fontId="3" fillId="68" borderId="1" xfId="0" applyFont="1" applyFill="1" applyBorder="1" applyAlignment="1">
      <alignment horizontal="center" wrapText="1"/>
    </xf>
    <xf numFmtId="0" fontId="3" fillId="69" borderId="1" xfId="0" applyFont="1" applyFill="1" applyBorder="1" applyAlignment="1">
      <alignment horizontal="center" wrapText="1"/>
    </xf>
    <xf numFmtId="0" fontId="3" fillId="70" borderId="1" xfId="0" applyFont="1" applyFill="1" applyBorder="1" applyAlignment="1">
      <alignment horizontal="center" wrapText="1"/>
    </xf>
    <xf numFmtId="0" fontId="3" fillId="71" borderId="1" xfId="0" applyFont="1" applyFill="1" applyBorder="1" applyAlignment="1">
      <alignment horizontal="center" wrapText="1"/>
    </xf>
    <xf numFmtId="0" fontId="3" fillId="72" borderId="1" xfId="0" applyFont="1" applyFill="1" applyBorder="1" applyAlignment="1">
      <alignment horizontal="center" wrapText="1"/>
    </xf>
    <xf numFmtId="0" fontId="3" fillId="73" borderId="1" xfId="0" applyFont="1" applyFill="1" applyBorder="1" applyAlignment="1">
      <alignment horizontal="center" wrapText="1"/>
    </xf>
    <xf numFmtId="0" fontId="3" fillId="74" borderId="1" xfId="0" applyFont="1" applyFill="1" applyBorder="1" applyAlignment="1">
      <alignment horizontal="center" wrapText="1"/>
    </xf>
    <xf numFmtId="0" fontId="3" fillId="75" borderId="1" xfId="0" applyFont="1" applyFill="1" applyBorder="1" applyAlignment="1">
      <alignment horizontal="center" wrapText="1"/>
    </xf>
    <xf numFmtId="0" fontId="3" fillId="76" borderId="1" xfId="0" applyFont="1" applyFill="1" applyBorder="1" applyAlignment="1">
      <alignment horizontal="center" wrapText="1"/>
    </xf>
    <xf numFmtId="0" fontId="3" fillId="77" borderId="1" xfId="0" applyFont="1" applyFill="1" applyBorder="1" applyAlignment="1">
      <alignment horizontal="center" wrapText="1"/>
    </xf>
    <xf numFmtId="0" fontId="3" fillId="78" borderId="1" xfId="0" applyFont="1" applyFill="1" applyBorder="1" applyAlignment="1">
      <alignment horizontal="center" wrapText="1"/>
    </xf>
    <xf numFmtId="0" fontId="3" fillId="79" borderId="1" xfId="0" applyFont="1" applyFill="1" applyBorder="1" applyAlignment="1">
      <alignment horizontal="center" wrapText="1"/>
    </xf>
    <xf numFmtId="0" fontId="3" fillId="80" borderId="1" xfId="0" applyFont="1" applyFill="1" applyBorder="1" applyAlignment="1">
      <alignment horizontal="center" wrapText="1"/>
    </xf>
    <xf numFmtId="0" fontId="3" fillId="81" borderId="1" xfId="0" applyFont="1" applyFill="1" applyBorder="1" applyAlignment="1">
      <alignment horizontal="center" wrapText="1"/>
    </xf>
    <xf numFmtId="0" fontId="3" fillId="82" borderId="1" xfId="0" applyFont="1" applyFill="1" applyBorder="1" applyAlignment="1">
      <alignment horizontal="center" wrapText="1"/>
    </xf>
    <xf numFmtId="0" fontId="3" fillId="83" borderId="1" xfId="0" applyFont="1" applyFill="1" applyBorder="1" applyAlignment="1">
      <alignment horizontal="center" wrapText="1"/>
    </xf>
    <xf numFmtId="0" fontId="3" fillId="84" borderId="1" xfId="0" applyFont="1" applyFill="1" applyBorder="1" applyAlignment="1">
      <alignment horizontal="center" wrapText="1"/>
    </xf>
    <xf numFmtId="0" fontId="3" fillId="85" borderId="1" xfId="0" applyFont="1" applyFill="1" applyBorder="1" applyAlignment="1">
      <alignment horizontal="center" wrapText="1"/>
    </xf>
    <xf numFmtId="0" fontId="3" fillId="86" borderId="1" xfId="0" applyFont="1" applyFill="1" applyBorder="1" applyAlignment="1">
      <alignment horizontal="center" wrapText="1"/>
    </xf>
    <xf numFmtId="0" fontId="3" fillId="87" borderId="1" xfId="0" applyFont="1" applyFill="1" applyBorder="1" applyAlignment="1">
      <alignment horizontal="center" wrapText="1"/>
    </xf>
    <xf numFmtId="0" fontId="3" fillId="88" borderId="1" xfId="0" applyFont="1" applyFill="1" applyBorder="1" applyAlignment="1">
      <alignment horizontal="center" wrapText="1"/>
    </xf>
    <xf numFmtId="0" fontId="3" fillId="89" borderId="1" xfId="0" applyFont="1" applyFill="1" applyBorder="1" applyAlignment="1">
      <alignment horizontal="center" wrapText="1"/>
    </xf>
    <xf numFmtId="0" fontId="3" fillId="90" borderId="1" xfId="0" applyFont="1" applyFill="1" applyBorder="1" applyAlignment="1">
      <alignment horizontal="center" wrapText="1"/>
    </xf>
    <xf numFmtId="0" fontId="3" fillId="91" borderId="1" xfId="0" applyFont="1" applyFill="1" applyBorder="1" applyAlignment="1">
      <alignment horizontal="center" wrapText="1"/>
    </xf>
    <xf numFmtId="0" fontId="3" fillId="92" borderId="1" xfId="0" applyFont="1" applyFill="1" applyBorder="1" applyAlignment="1">
      <alignment horizontal="center" wrapText="1"/>
    </xf>
    <xf numFmtId="0" fontId="3" fillId="93" borderId="1" xfId="0" applyFont="1" applyFill="1" applyBorder="1" applyAlignment="1">
      <alignment horizontal="center" wrapText="1"/>
    </xf>
    <xf numFmtId="0" fontId="3" fillId="94" borderId="1" xfId="0" applyFont="1" applyFill="1" applyBorder="1" applyAlignment="1">
      <alignment horizontal="center" wrapText="1"/>
    </xf>
    <xf numFmtId="0" fontId="3" fillId="95" borderId="1" xfId="0" applyFont="1" applyFill="1" applyBorder="1" applyAlignment="1">
      <alignment horizontal="center" wrapText="1"/>
    </xf>
    <xf numFmtId="0" fontId="3" fillId="96" borderId="1" xfId="0" applyFont="1" applyFill="1" applyBorder="1" applyAlignment="1">
      <alignment horizontal="center" wrapText="1"/>
    </xf>
    <xf numFmtId="0" fontId="3" fillId="97" borderId="1" xfId="0" applyFont="1" applyFill="1" applyBorder="1" applyAlignment="1">
      <alignment horizontal="center" wrapText="1"/>
    </xf>
    <xf numFmtId="0" fontId="3" fillId="98" borderId="1" xfId="0" applyFont="1" applyFill="1" applyBorder="1" applyAlignment="1">
      <alignment horizontal="center" wrapText="1"/>
    </xf>
    <xf numFmtId="0" fontId="3" fillId="99" borderId="1" xfId="0" applyFont="1" applyFill="1" applyBorder="1" applyAlignment="1">
      <alignment horizontal="center" wrapText="1"/>
    </xf>
    <xf numFmtId="0" fontId="3" fillId="100" borderId="1" xfId="0" applyFont="1" applyFill="1" applyBorder="1" applyAlignment="1">
      <alignment horizontal="center" wrapText="1"/>
    </xf>
    <xf numFmtId="0" fontId="3" fillId="101" borderId="1" xfId="0" applyFont="1" applyFill="1" applyBorder="1" applyAlignment="1">
      <alignment horizontal="center" wrapText="1"/>
    </xf>
    <xf numFmtId="0" fontId="3" fillId="102" borderId="1" xfId="0" applyFont="1" applyFill="1" applyBorder="1" applyAlignment="1">
      <alignment horizontal="center" wrapText="1"/>
    </xf>
    <xf numFmtId="0" fontId="3" fillId="103" borderId="1" xfId="0" applyFont="1" applyFill="1" applyBorder="1" applyAlignment="1">
      <alignment horizontal="center" wrapText="1"/>
    </xf>
    <xf numFmtId="0" fontId="3" fillId="104" borderId="1" xfId="0" applyFont="1" applyFill="1" applyBorder="1" applyAlignment="1">
      <alignment horizontal="center" wrapText="1"/>
    </xf>
    <xf numFmtId="0" fontId="3" fillId="105" borderId="1" xfId="0" applyFont="1" applyFill="1" applyBorder="1" applyAlignment="1">
      <alignment horizontal="center" wrapText="1"/>
    </xf>
    <xf numFmtId="0" fontId="3" fillId="106" borderId="1" xfId="0" applyFont="1" applyFill="1" applyBorder="1" applyAlignment="1">
      <alignment horizontal="center" wrapText="1"/>
    </xf>
    <xf numFmtId="0" fontId="3" fillId="107" borderId="1" xfId="0" applyFont="1" applyFill="1" applyBorder="1" applyAlignment="1">
      <alignment horizontal="center" wrapText="1"/>
    </xf>
    <xf numFmtId="0" fontId="3" fillId="108" borderId="1" xfId="0" applyFont="1" applyFill="1" applyBorder="1" applyAlignment="1">
      <alignment horizontal="center" wrapText="1"/>
    </xf>
    <xf numFmtId="0" fontId="3" fillId="109" borderId="1" xfId="0" applyFont="1" applyFill="1" applyBorder="1" applyAlignment="1">
      <alignment horizontal="center" wrapText="1"/>
    </xf>
    <xf numFmtId="0" fontId="3" fillId="110" borderId="1" xfId="0" applyFont="1" applyFill="1" applyBorder="1" applyAlignment="1">
      <alignment horizontal="center" wrapText="1"/>
    </xf>
    <xf numFmtId="0" fontId="3" fillId="111" borderId="1" xfId="0" applyFont="1" applyFill="1" applyBorder="1" applyAlignment="1">
      <alignment horizontal="center" wrapText="1"/>
    </xf>
    <xf numFmtId="0" fontId="3" fillId="112" borderId="1" xfId="0" applyFont="1" applyFill="1" applyBorder="1" applyAlignment="1">
      <alignment horizontal="center" wrapText="1"/>
    </xf>
    <xf numFmtId="0" fontId="3" fillId="113" borderId="1" xfId="0" applyFont="1" applyFill="1" applyBorder="1" applyAlignment="1">
      <alignment horizontal="center" wrapText="1"/>
    </xf>
    <xf numFmtId="0" fontId="3" fillId="114" borderId="1" xfId="0" applyFont="1" applyFill="1" applyBorder="1" applyAlignment="1">
      <alignment horizontal="center" wrapText="1"/>
    </xf>
    <xf numFmtId="0" fontId="3" fillId="115" borderId="1" xfId="0" applyFont="1" applyFill="1" applyBorder="1" applyAlignment="1">
      <alignment horizontal="center" wrapText="1"/>
    </xf>
    <xf numFmtId="0" fontId="3" fillId="116" borderId="1" xfId="0" applyFont="1" applyFill="1" applyBorder="1" applyAlignment="1">
      <alignment horizontal="center" wrapText="1"/>
    </xf>
    <xf numFmtId="0" fontId="3" fillId="117" borderId="1" xfId="0" applyFont="1" applyFill="1" applyBorder="1" applyAlignment="1">
      <alignment horizontal="center" wrapText="1"/>
    </xf>
    <xf numFmtId="0" fontId="3" fillId="118" borderId="1" xfId="0" applyFont="1" applyFill="1" applyBorder="1" applyAlignment="1">
      <alignment horizontal="center" wrapText="1"/>
    </xf>
    <xf numFmtId="0" fontId="3" fillId="119" borderId="1" xfId="0" applyFont="1" applyFill="1" applyBorder="1" applyAlignment="1">
      <alignment horizontal="center" wrapText="1"/>
    </xf>
    <xf numFmtId="0" fontId="3" fillId="120" borderId="1" xfId="0" applyFont="1" applyFill="1" applyBorder="1" applyAlignment="1">
      <alignment horizontal="center" wrapText="1"/>
    </xf>
    <xf numFmtId="0" fontId="3" fillId="121" borderId="1" xfId="0" applyFont="1" applyFill="1" applyBorder="1" applyAlignment="1">
      <alignment horizontal="center" wrapText="1"/>
    </xf>
    <xf numFmtId="0" fontId="3" fillId="122" borderId="1" xfId="0" applyFont="1" applyFill="1" applyBorder="1" applyAlignment="1">
      <alignment horizontal="center" wrapText="1"/>
    </xf>
    <xf numFmtId="0" fontId="3" fillId="123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124" borderId="1" xfId="0" applyFont="1" applyFill="1" applyBorder="1" applyAlignment="1">
      <alignment horizontal="center" wrapText="1"/>
    </xf>
    <xf numFmtId="0" fontId="3" fillId="125" borderId="1" xfId="0" applyFont="1" applyFill="1" applyBorder="1" applyAlignment="1">
      <alignment horizontal="center" wrapText="1"/>
    </xf>
    <xf numFmtId="0" fontId="3" fillId="126" borderId="1" xfId="0" applyFont="1" applyFill="1" applyBorder="1" applyAlignment="1">
      <alignment horizontal="center" wrapText="1"/>
    </xf>
    <xf numFmtId="0" fontId="3" fillId="127" borderId="1" xfId="0" applyFont="1" applyFill="1" applyBorder="1" applyAlignment="1">
      <alignment horizontal="center" wrapText="1"/>
    </xf>
    <xf numFmtId="0" fontId="3" fillId="128" borderId="1" xfId="0" applyFont="1" applyFill="1" applyBorder="1" applyAlignment="1">
      <alignment horizontal="center" wrapText="1"/>
    </xf>
    <xf numFmtId="0" fontId="3" fillId="129" borderId="1" xfId="0" applyFont="1" applyFill="1" applyBorder="1" applyAlignment="1">
      <alignment horizontal="center" wrapText="1"/>
    </xf>
    <xf numFmtId="0" fontId="3" fillId="130" borderId="1" xfId="0" applyFont="1" applyFill="1" applyBorder="1" applyAlignment="1">
      <alignment horizontal="center" wrapText="1"/>
    </xf>
    <xf numFmtId="0" fontId="3" fillId="131" borderId="1" xfId="0" applyFont="1" applyFill="1" applyBorder="1" applyAlignment="1">
      <alignment horizontal="center" wrapText="1"/>
    </xf>
    <xf numFmtId="0" fontId="3" fillId="132" borderId="1" xfId="0" applyFont="1" applyFill="1" applyBorder="1" applyAlignment="1">
      <alignment horizontal="center" wrapText="1"/>
    </xf>
    <xf numFmtId="0" fontId="3" fillId="133" borderId="1" xfId="0" applyFont="1" applyFill="1" applyBorder="1" applyAlignment="1">
      <alignment horizontal="center" wrapText="1"/>
    </xf>
    <xf numFmtId="0" fontId="3" fillId="134" borderId="1" xfId="0" applyFont="1" applyFill="1" applyBorder="1" applyAlignment="1">
      <alignment horizontal="center" wrapText="1"/>
    </xf>
    <xf numFmtId="0" fontId="3" fillId="135" borderId="1" xfId="0" applyFont="1" applyFill="1" applyBorder="1" applyAlignment="1">
      <alignment horizontal="center" wrapText="1"/>
    </xf>
    <xf numFmtId="0" fontId="3" fillId="136" borderId="1" xfId="0" applyFont="1" applyFill="1" applyBorder="1" applyAlignment="1">
      <alignment horizontal="center" wrapText="1"/>
    </xf>
    <xf numFmtId="0" fontId="3" fillId="137" borderId="1" xfId="0" applyFont="1" applyFill="1" applyBorder="1" applyAlignment="1">
      <alignment horizontal="center" wrapText="1"/>
    </xf>
    <xf numFmtId="0" fontId="3" fillId="138" borderId="1" xfId="0" applyFont="1" applyFill="1" applyBorder="1" applyAlignment="1">
      <alignment horizontal="center" wrapText="1"/>
    </xf>
    <xf numFmtId="0" fontId="3" fillId="139" borderId="1" xfId="0" applyFont="1" applyFill="1" applyBorder="1" applyAlignment="1">
      <alignment horizontal="center" wrapText="1"/>
    </xf>
    <xf numFmtId="0" fontId="3" fillId="140" borderId="1" xfId="0" applyFont="1" applyFill="1" applyBorder="1" applyAlignment="1">
      <alignment horizontal="center" wrapText="1"/>
    </xf>
    <xf numFmtId="165" fontId="0" fillId="0" borderId="0" xfId="0" applyNumberFormat="1"/>
    <xf numFmtId="165" fontId="1" fillId="2" borderId="0" xfId="0" applyNumberFormat="1" applyFont="1" applyFill="1"/>
    <xf numFmtId="0" fontId="5" fillId="0" borderId="0" xfId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localhost:8111/load_object?objects=w173028792&amp;referrers=false" TargetMode="External"/><Relationship Id="rId299" Type="http://schemas.openxmlformats.org/officeDocument/2006/relationships/hyperlink" Target="http://temples.ru/card.php?ID=1280" TargetMode="External"/><Relationship Id="rId21" Type="http://schemas.openxmlformats.org/officeDocument/2006/relationships/hyperlink" Target="http://localhost:8111/load_object?objects=w40483633&amp;referrers=false" TargetMode="External"/><Relationship Id="rId63" Type="http://schemas.openxmlformats.org/officeDocument/2006/relationships/hyperlink" Target="http://localhost:8111/load_object?objects=w87993338&amp;referrers=false" TargetMode="External"/><Relationship Id="rId159" Type="http://schemas.openxmlformats.org/officeDocument/2006/relationships/hyperlink" Target="http://temples.ru/card.php?ID=7954" TargetMode="External"/><Relationship Id="rId324" Type="http://schemas.openxmlformats.org/officeDocument/2006/relationships/hyperlink" Target="http://temples.ru/card.php?ID=4903" TargetMode="External"/><Relationship Id="rId366" Type="http://schemas.openxmlformats.org/officeDocument/2006/relationships/hyperlink" Target="http://localhost:8111/load_object?objects=w375720029&amp;referrers=false" TargetMode="External"/><Relationship Id="rId170" Type="http://schemas.openxmlformats.org/officeDocument/2006/relationships/hyperlink" Target="http://temples.ru/card.php?ID=7930" TargetMode="External"/><Relationship Id="rId226" Type="http://schemas.openxmlformats.org/officeDocument/2006/relationships/hyperlink" Target="http://temples.ru/card.php?ID=17629" TargetMode="External"/><Relationship Id="rId433" Type="http://schemas.openxmlformats.org/officeDocument/2006/relationships/hyperlink" Target="http://localhost:8111/load_object?objects=r6637079&amp;referrers=false" TargetMode="External"/><Relationship Id="rId268" Type="http://schemas.openxmlformats.org/officeDocument/2006/relationships/hyperlink" Target="http://temples.ru/card.php?ID=1285" TargetMode="External"/><Relationship Id="rId32" Type="http://schemas.openxmlformats.org/officeDocument/2006/relationships/hyperlink" Target="http://temples.ru/card.php?ID=3437" TargetMode="External"/><Relationship Id="rId74" Type="http://schemas.openxmlformats.org/officeDocument/2006/relationships/hyperlink" Target="http://temples.ru/card.php?ID=13213" TargetMode="External"/><Relationship Id="rId128" Type="http://schemas.openxmlformats.org/officeDocument/2006/relationships/hyperlink" Target="http://temples.ru/card.php?ID=1266" TargetMode="External"/><Relationship Id="rId335" Type="http://schemas.openxmlformats.org/officeDocument/2006/relationships/hyperlink" Target="http://temples.ru/card.php?ID=4841" TargetMode="External"/><Relationship Id="rId377" Type="http://schemas.openxmlformats.org/officeDocument/2006/relationships/hyperlink" Target="http://localhost:8111/load_object?objects=w422888864&amp;referrers=false" TargetMode="External"/><Relationship Id="rId5" Type="http://schemas.openxmlformats.org/officeDocument/2006/relationships/hyperlink" Target="http://localhost:8111/load_object?objects=w35447051&amp;referrers=false" TargetMode="External"/><Relationship Id="rId181" Type="http://schemas.openxmlformats.org/officeDocument/2006/relationships/hyperlink" Target="http://localhost:8111/load_object?objects=w213860413&amp;referrers=false" TargetMode="External"/><Relationship Id="rId237" Type="http://schemas.openxmlformats.org/officeDocument/2006/relationships/hyperlink" Target="http://localhost:8111/load_object?objects=w280790880&amp;referrers=false" TargetMode="External"/><Relationship Id="rId402" Type="http://schemas.openxmlformats.org/officeDocument/2006/relationships/hyperlink" Target="http://localhost:8111/load_object?objects=w533945305&amp;referrers=false" TargetMode="External"/><Relationship Id="rId279" Type="http://schemas.openxmlformats.org/officeDocument/2006/relationships/hyperlink" Target="http://temples.ru/card.php?ID=7936" TargetMode="External"/><Relationship Id="rId444" Type="http://schemas.openxmlformats.org/officeDocument/2006/relationships/hyperlink" Target="http://localhost:8111/load_object?objects=r7932909&amp;referrers=false" TargetMode="External"/><Relationship Id="rId43" Type="http://schemas.openxmlformats.org/officeDocument/2006/relationships/hyperlink" Target="http://localhost:8111/load_object?objects=w87567582&amp;referrers=false" TargetMode="External"/><Relationship Id="rId139" Type="http://schemas.openxmlformats.org/officeDocument/2006/relationships/hyperlink" Target="http://temples.ru/card.php?ID=5487" TargetMode="External"/><Relationship Id="rId290" Type="http://schemas.openxmlformats.org/officeDocument/2006/relationships/hyperlink" Target="http://localhost:8111/load_object?objects=w325810384&amp;referrers=false" TargetMode="External"/><Relationship Id="rId304" Type="http://schemas.openxmlformats.org/officeDocument/2006/relationships/hyperlink" Target="http://localhost:8111/load_object?objects=w327339343&amp;referrers=false" TargetMode="External"/><Relationship Id="rId346" Type="http://schemas.openxmlformats.org/officeDocument/2006/relationships/hyperlink" Target="http://localhost:8111/load_object?objects=w367350240&amp;referrers=false" TargetMode="External"/><Relationship Id="rId388" Type="http://schemas.openxmlformats.org/officeDocument/2006/relationships/hyperlink" Target="http://localhost:8111/load_object?objects=w433007634&amp;referrers=false" TargetMode="External"/><Relationship Id="rId85" Type="http://schemas.openxmlformats.org/officeDocument/2006/relationships/hyperlink" Target="http://temples.ru/card.php?ID=2789" TargetMode="External"/><Relationship Id="rId150" Type="http://schemas.openxmlformats.org/officeDocument/2006/relationships/hyperlink" Target="http://localhost:8111/load_object?objects=w181675547&amp;referrers=false" TargetMode="External"/><Relationship Id="rId192" Type="http://schemas.openxmlformats.org/officeDocument/2006/relationships/hyperlink" Target="http://temples.ru/card.php?ID=1324" TargetMode="External"/><Relationship Id="rId206" Type="http://schemas.openxmlformats.org/officeDocument/2006/relationships/hyperlink" Target="http://temples.ru/card.php?ID=11304" TargetMode="External"/><Relationship Id="rId413" Type="http://schemas.openxmlformats.org/officeDocument/2006/relationships/hyperlink" Target="http://localhost:8111/load_object?objects=w561632132&amp;referrers=false" TargetMode="External"/><Relationship Id="rId248" Type="http://schemas.openxmlformats.org/officeDocument/2006/relationships/hyperlink" Target="http://temples.ru/card.php?ID=1291" TargetMode="External"/><Relationship Id="rId455" Type="http://schemas.openxmlformats.org/officeDocument/2006/relationships/hyperlink" Target="http://localhost:8111/load_object?objects=r8649588&amp;referrers=false" TargetMode="External"/><Relationship Id="rId12" Type="http://schemas.openxmlformats.org/officeDocument/2006/relationships/hyperlink" Target="http://localhost:8111/load_object?objects=w36128101&amp;referrers=false" TargetMode="External"/><Relationship Id="rId108" Type="http://schemas.openxmlformats.org/officeDocument/2006/relationships/hyperlink" Target="http://localhost:8111/load_object?objects=w169592483&amp;referrers=false" TargetMode="External"/><Relationship Id="rId315" Type="http://schemas.openxmlformats.org/officeDocument/2006/relationships/hyperlink" Target="http://temples.ru/card.php?ID=8472" TargetMode="External"/><Relationship Id="rId357" Type="http://schemas.openxmlformats.org/officeDocument/2006/relationships/hyperlink" Target="http://temples.ru/card.php?ID=4655" TargetMode="External"/><Relationship Id="rId54" Type="http://schemas.openxmlformats.org/officeDocument/2006/relationships/hyperlink" Target="http://temples.ru/card.php?ID=5281" TargetMode="External"/><Relationship Id="rId96" Type="http://schemas.openxmlformats.org/officeDocument/2006/relationships/hyperlink" Target="http://localhost:8111/load_object?objects=w167290560&amp;referrers=false" TargetMode="External"/><Relationship Id="rId161" Type="http://schemas.openxmlformats.org/officeDocument/2006/relationships/hyperlink" Target="http://temples.ru/card.php?ID=1357" TargetMode="External"/><Relationship Id="rId217" Type="http://schemas.openxmlformats.org/officeDocument/2006/relationships/hyperlink" Target="http://temples.ru/card.php?ID=5429" TargetMode="External"/><Relationship Id="rId399" Type="http://schemas.openxmlformats.org/officeDocument/2006/relationships/hyperlink" Target="http://temples.ru/card.php?ID=4654" TargetMode="External"/><Relationship Id="rId259" Type="http://schemas.openxmlformats.org/officeDocument/2006/relationships/hyperlink" Target="http://localhost:8111/load_object?objects=w294520072&amp;referrers=false" TargetMode="External"/><Relationship Id="rId424" Type="http://schemas.openxmlformats.org/officeDocument/2006/relationships/hyperlink" Target="http://localhost:8111/load_object?objects=w622905450&amp;referrers=false" TargetMode="External"/><Relationship Id="rId23" Type="http://schemas.openxmlformats.org/officeDocument/2006/relationships/hyperlink" Target="http://localhost:8111/load_object?objects=w41279806&amp;referrers=false" TargetMode="External"/><Relationship Id="rId119" Type="http://schemas.openxmlformats.org/officeDocument/2006/relationships/hyperlink" Target="http://localhost:8111/load_object?objects=w173516101&amp;referrers=false" TargetMode="External"/><Relationship Id="rId270" Type="http://schemas.openxmlformats.org/officeDocument/2006/relationships/hyperlink" Target="http://temples.ru/card.php?ID=23868" TargetMode="External"/><Relationship Id="rId291" Type="http://schemas.openxmlformats.org/officeDocument/2006/relationships/hyperlink" Target="http://temples.ru/card.php?ID=4913" TargetMode="External"/><Relationship Id="rId305" Type="http://schemas.openxmlformats.org/officeDocument/2006/relationships/hyperlink" Target="http://temples.ru/card.php?ID=1330" TargetMode="External"/><Relationship Id="rId326" Type="http://schemas.openxmlformats.org/officeDocument/2006/relationships/hyperlink" Target="http://temples.ru/card.php?ID=4881" TargetMode="External"/><Relationship Id="rId347" Type="http://schemas.openxmlformats.org/officeDocument/2006/relationships/hyperlink" Target="http://temples.ru/card.php?ID=4905" TargetMode="External"/><Relationship Id="rId44" Type="http://schemas.openxmlformats.org/officeDocument/2006/relationships/hyperlink" Target="http://temples.ru/card.php?ID=5151" TargetMode="External"/><Relationship Id="rId65" Type="http://schemas.openxmlformats.org/officeDocument/2006/relationships/hyperlink" Target="http://localhost:8111/load_object?objects=w87993354&amp;referrers=false" TargetMode="External"/><Relationship Id="rId86" Type="http://schemas.openxmlformats.org/officeDocument/2006/relationships/hyperlink" Target="http://localhost:8111/load_object?objects=w128393961&amp;referrers=false" TargetMode="External"/><Relationship Id="rId130" Type="http://schemas.openxmlformats.org/officeDocument/2006/relationships/hyperlink" Target="http://temples.ru/card.php?ID=1265" TargetMode="External"/><Relationship Id="rId151" Type="http://schemas.openxmlformats.org/officeDocument/2006/relationships/hyperlink" Target="http://temples.ru/card.php?ID=1334" TargetMode="External"/><Relationship Id="rId368" Type="http://schemas.openxmlformats.org/officeDocument/2006/relationships/hyperlink" Target="http://localhost:8111/load_object?objects=w395444669&amp;referrers=false" TargetMode="External"/><Relationship Id="rId389" Type="http://schemas.openxmlformats.org/officeDocument/2006/relationships/hyperlink" Target="http://localhost:8111/load_object?objects=w439879552&amp;referrers=false" TargetMode="External"/><Relationship Id="rId172" Type="http://schemas.openxmlformats.org/officeDocument/2006/relationships/hyperlink" Target="http://temples.ru/card.php?ID=2726" TargetMode="External"/><Relationship Id="rId193" Type="http://schemas.openxmlformats.org/officeDocument/2006/relationships/hyperlink" Target="http://localhost:8111/load_object?objects=w222565232&amp;referrers=false" TargetMode="External"/><Relationship Id="rId207" Type="http://schemas.openxmlformats.org/officeDocument/2006/relationships/hyperlink" Target="http://localhost:8111/load_object?objects=w238945322&amp;referrers=false" TargetMode="External"/><Relationship Id="rId228" Type="http://schemas.openxmlformats.org/officeDocument/2006/relationships/hyperlink" Target="http://temples.ru/card.php?ID=4993" TargetMode="External"/><Relationship Id="rId249" Type="http://schemas.openxmlformats.org/officeDocument/2006/relationships/hyperlink" Target="http://localhost:8111/load_object?objects=w294500219&amp;referrers=false" TargetMode="External"/><Relationship Id="rId414" Type="http://schemas.openxmlformats.org/officeDocument/2006/relationships/hyperlink" Target="http://temples.ru/card.php?ID=5431" TargetMode="External"/><Relationship Id="rId435" Type="http://schemas.openxmlformats.org/officeDocument/2006/relationships/hyperlink" Target="http://localhost:8111/load_object?objects=r6642589&amp;referrers=false" TargetMode="External"/><Relationship Id="rId456" Type="http://schemas.openxmlformats.org/officeDocument/2006/relationships/hyperlink" Target="http://temples.ru/card.php?ID=4857" TargetMode="External"/><Relationship Id="rId13" Type="http://schemas.openxmlformats.org/officeDocument/2006/relationships/hyperlink" Target="http://localhost:8111/load_object?objects=w36128102&amp;referrers=false" TargetMode="External"/><Relationship Id="rId109" Type="http://schemas.openxmlformats.org/officeDocument/2006/relationships/hyperlink" Target="http://temples.ru/card.php?ID=1256" TargetMode="External"/><Relationship Id="rId260" Type="http://schemas.openxmlformats.org/officeDocument/2006/relationships/hyperlink" Target="http://temples.ru/card.php?ID=1308" TargetMode="External"/><Relationship Id="rId281" Type="http://schemas.openxmlformats.org/officeDocument/2006/relationships/hyperlink" Target="http://temples.ru/card.php?ID=7921" TargetMode="External"/><Relationship Id="rId316" Type="http://schemas.openxmlformats.org/officeDocument/2006/relationships/hyperlink" Target="http://localhost:8111/load_object?objects=w327877624&amp;referrers=false" TargetMode="External"/><Relationship Id="rId337" Type="http://schemas.openxmlformats.org/officeDocument/2006/relationships/hyperlink" Target="http://temples.ru/card.php?ID=5001" TargetMode="External"/><Relationship Id="rId34" Type="http://schemas.openxmlformats.org/officeDocument/2006/relationships/hyperlink" Target="http://temples.ru/card.php?ID=5157" TargetMode="External"/><Relationship Id="rId55" Type="http://schemas.openxmlformats.org/officeDocument/2006/relationships/hyperlink" Target="http://localhost:8111/load_object?objects=w87965538&amp;referrers=false" TargetMode="External"/><Relationship Id="rId76" Type="http://schemas.openxmlformats.org/officeDocument/2006/relationships/hyperlink" Target="http://temples.ru/card.php?ID=4920" TargetMode="External"/><Relationship Id="rId97" Type="http://schemas.openxmlformats.org/officeDocument/2006/relationships/hyperlink" Target="http://localhost:8111/load_object?objects=w167482775&amp;referrers=false" TargetMode="External"/><Relationship Id="rId120" Type="http://schemas.openxmlformats.org/officeDocument/2006/relationships/hyperlink" Target="http://temples.ru/card.php?ID=2311" TargetMode="External"/><Relationship Id="rId141" Type="http://schemas.openxmlformats.org/officeDocument/2006/relationships/hyperlink" Target="http://temples.ru/card.php?ID=4796" TargetMode="External"/><Relationship Id="rId358" Type="http://schemas.openxmlformats.org/officeDocument/2006/relationships/hyperlink" Target="http://localhost:8111/load_object?objects=w370075933&amp;referrers=false" TargetMode="External"/><Relationship Id="rId379" Type="http://schemas.openxmlformats.org/officeDocument/2006/relationships/hyperlink" Target="http://temples.ru/card.php?ID=1316" TargetMode="External"/><Relationship Id="rId7" Type="http://schemas.openxmlformats.org/officeDocument/2006/relationships/hyperlink" Target="http://localhost:8111/load_object?objects=w35551876&amp;referrers=false" TargetMode="External"/><Relationship Id="rId162" Type="http://schemas.openxmlformats.org/officeDocument/2006/relationships/hyperlink" Target="http://localhost:8111/load_object?objects=w202905760&amp;referrers=false" TargetMode="External"/><Relationship Id="rId183" Type="http://schemas.openxmlformats.org/officeDocument/2006/relationships/hyperlink" Target="http://localhost:8111/load_object?objects=w213865123&amp;referrers=false" TargetMode="External"/><Relationship Id="rId218" Type="http://schemas.openxmlformats.org/officeDocument/2006/relationships/hyperlink" Target="http://localhost:8111/load_object?objects=w260266920&amp;referrers=false" TargetMode="External"/><Relationship Id="rId239" Type="http://schemas.openxmlformats.org/officeDocument/2006/relationships/hyperlink" Target="http://localhost:8111/load_object?objects=w281521668&amp;referrers=false" TargetMode="External"/><Relationship Id="rId390" Type="http://schemas.openxmlformats.org/officeDocument/2006/relationships/hyperlink" Target="http://temples.ru/card.php?ID=4874" TargetMode="External"/><Relationship Id="rId404" Type="http://schemas.openxmlformats.org/officeDocument/2006/relationships/hyperlink" Target="http://localhost:8111/load_object?objects=w533945521&amp;referrers=false" TargetMode="External"/><Relationship Id="rId425" Type="http://schemas.openxmlformats.org/officeDocument/2006/relationships/hyperlink" Target="http://localhost:8111/load_object?objects=r2772026&amp;referrers=false" TargetMode="External"/><Relationship Id="rId446" Type="http://schemas.openxmlformats.org/officeDocument/2006/relationships/hyperlink" Target="http://localhost:8111/load_object?objects=r7944700&amp;referrers=false" TargetMode="External"/><Relationship Id="rId250" Type="http://schemas.openxmlformats.org/officeDocument/2006/relationships/hyperlink" Target="http://temples.ru/card.php?ID=1350" TargetMode="External"/><Relationship Id="rId271" Type="http://schemas.openxmlformats.org/officeDocument/2006/relationships/hyperlink" Target="http://localhost:8111/load_object?objects=w294711942&amp;referrers=false" TargetMode="External"/><Relationship Id="rId292" Type="http://schemas.openxmlformats.org/officeDocument/2006/relationships/hyperlink" Target="http://localhost:8111/load_object?objects=w325810385&amp;referrers=false" TargetMode="External"/><Relationship Id="rId306" Type="http://schemas.openxmlformats.org/officeDocument/2006/relationships/hyperlink" Target="http://localhost:8111/load_object?objects=w327339344&amp;referrers=false" TargetMode="External"/><Relationship Id="rId24" Type="http://schemas.openxmlformats.org/officeDocument/2006/relationships/hyperlink" Target="http://temples.ru/card.php?ID=2238" TargetMode="External"/><Relationship Id="rId45" Type="http://schemas.openxmlformats.org/officeDocument/2006/relationships/hyperlink" Target="http://localhost:8111/load_object?objects=w87803779&amp;referrers=false" TargetMode="External"/><Relationship Id="rId66" Type="http://schemas.openxmlformats.org/officeDocument/2006/relationships/hyperlink" Target="http://temples.ru/card.php?ID=5123" TargetMode="External"/><Relationship Id="rId87" Type="http://schemas.openxmlformats.org/officeDocument/2006/relationships/hyperlink" Target="http://temples.ru/card.php?ID=7961" TargetMode="External"/><Relationship Id="rId110" Type="http://schemas.openxmlformats.org/officeDocument/2006/relationships/hyperlink" Target="http://localhost:8111/load_object?objects=w171746574&amp;referrers=false" TargetMode="External"/><Relationship Id="rId131" Type="http://schemas.openxmlformats.org/officeDocument/2006/relationships/hyperlink" Target="http://localhost:8111/load_object?objects=w174697600&amp;referrers=false" TargetMode="External"/><Relationship Id="rId327" Type="http://schemas.openxmlformats.org/officeDocument/2006/relationships/hyperlink" Target="http://localhost:8111/load_object?objects=w355256139&amp;referrers=false" TargetMode="External"/><Relationship Id="rId348" Type="http://schemas.openxmlformats.org/officeDocument/2006/relationships/hyperlink" Target="http://localhost:8111/load_object?objects=w367350241&amp;referrers=false" TargetMode="External"/><Relationship Id="rId369" Type="http://schemas.openxmlformats.org/officeDocument/2006/relationships/hyperlink" Target="http://temples.ru/card.php?ID=5012" TargetMode="External"/><Relationship Id="rId152" Type="http://schemas.openxmlformats.org/officeDocument/2006/relationships/hyperlink" Target="http://localhost:8111/load_object?objects=w182809170&amp;referrers=false" TargetMode="External"/><Relationship Id="rId173" Type="http://schemas.openxmlformats.org/officeDocument/2006/relationships/hyperlink" Target="http://localhost:8111/load_object?objects=w206151680&amp;referrers=false" TargetMode="External"/><Relationship Id="rId194" Type="http://schemas.openxmlformats.org/officeDocument/2006/relationships/hyperlink" Target="http://temples.ru/card.php?ID=11054" TargetMode="External"/><Relationship Id="rId208" Type="http://schemas.openxmlformats.org/officeDocument/2006/relationships/hyperlink" Target="http://temples.ru/card.php?ID=4642" TargetMode="External"/><Relationship Id="rId229" Type="http://schemas.openxmlformats.org/officeDocument/2006/relationships/hyperlink" Target="http://localhost:8111/load_object?objects=w274789572&amp;referrers=false" TargetMode="External"/><Relationship Id="rId380" Type="http://schemas.openxmlformats.org/officeDocument/2006/relationships/hyperlink" Target="http://localhost:8111/load_object?objects=w429804329&amp;referrers=false" TargetMode="External"/><Relationship Id="rId415" Type="http://schemas.openxmlformats.org/officeDocument/2006/relationships/hyperlink" Target="http://localhost:8111/load_object?objects=w562956561&amp;referrers=false" TargetMode="External"/><Relationship Id="rId436" Type="http://schemas.openxmlformats.org/officeDocument/2006/relationships/hyperlink" Target="http://temples.ru/card.php?ID=4829" TargetMode="External"/><Relationship Id="rId457" Type="http://schemas.openxmlformats.org/officeDocument/2006/relationships/printerSettings" Target="../printerSettings/printerSettings1.bin"/><Relationship Id="rId240" Type="http://schemas.openxmlformats.org/officeDocument/2006/relationships/hyperlink" Target="http://temples.ru/card.php?ID=1264" TargetMode="External"/><Relationship Id="rId261" Type="http://schemas.openxmlformats.org/officeDocument/2006/relationships/hyperlink" Target="http://localhost:8111/load_object?objects=w294521817&amp;referrers=false" TargetMode="External"/><Relationship Id="rId14" Type="http://schemas.openxmlformats.org/officeDocument/2006/relationships/hyperlink" Target="http://localhost:8111/load_object?objects=w36129618&amp;referrers=false" TargetMode="External"/><Relationship Id="rId35" Type="http://schemas.openxmlformats.org/officeDocument/2006/relationships/hyperlink" Target="http://localhost:8111/load_object?objects=w86056119&amp;referrers=false" TargetMode="External"/><Relationship Id="rId56" Type="http://schemas.openxmlformats.org/officeDocument/2006/relationships/hyperlink" Target="http://temples.ru/card.php?ID=5154" TargetMode="External"/><Relationship Id="rId77" Type="http://schemas.openxmlformats.org/officeDocument/2006/relationships/hyperlink" Target="http://localhost:8111/load_object?objects=w110660379&amp;referrers=false" TargetMode="External"/><Relationship Id="rId100" Type="http://schemas.openxmlformats.org/officeDocument/2006/relationships/hyperlink" Target="http://temples.ru/card.php?ID=7918" TargetMode="External"/><Relationship Id="rId282" Type="http://schemas.openxmlformats.org/officeDocument/2006/relationships/hyperlink" Target="http://localhost:8111/load_object?objects=w314257891&amp;referrers=false" TargetMode="External"/><Relationship Id="rId317" Type="http://schemas.openxmlformats.org/officeDocument/2006/relationships/hyperlink" Target="http://temples.ru/card.php?ID=8475" TargetMode="External"/><Relationship Id="rId338" Type="http://schemas.openxmlformats.org/officeDocument/2006/relationships/hyperlink" Target="http://localhost:8111/load_object?objects=w367350232&amp;referrers=false" TargetMode="External"/><Relationship Id="rId359" Type="http://schemas.openxmlformats.org/officeDocument/2006/relationships/hyperlink" Target="http://temples.ru/card.php?ID=4979" TargetMode="External"/><Relationship Id="rId8" Type="http://schemas.openxmlformats.org/officeDocument/2006/relationships/hyperlink" Target="http://localhost:8111/load_object?objects=w35551877&amp;referrers=false" TargetMode="External"/><Relationship Id="rId98" Type="http://schemas.openxmlformats.org/officeDocument/2006/relationships/hyperlink" Target="http://temples.ru/card.php?ID=4641" TargetMode="External"/><Relationship Id="rId121" Type="http://schemas.openxmlformats.org/officeDocument/2006/relationships/hyperlink" Target="http://localhost:8111/load_object?objects=w174696499&amp;referrers=false" TargetMode="External"/><Relationship Id="rId142" Type="http://schemas.openxmlformats.org/officeDocument/2006/relationships/hyperlink" Target="http://localhost:8111/load_object?objects=w180839957&amp;referrers=false" TargetMode="External"/><Relationship Id="rId163" Type="http://schemas.openxmlformats.org/officeDocument/2006/relationships/hyperlink" Target="http://localhost:8111/load_object?objects=w203189719&amp;referrers=false" TargetMode="External"/><Relationship Id="rId184" Type="http://schemas.openxmlformats.org/officeDocument/2006/relationships/hyperlink" Target="http://localhost:8111/load_object?objects=w215184795&amp;referrers=false" TargetMode="External"/><Relationship Id="rId219" Type="http://schemas.openxmlformats.org/officeDocument/2006/relationships/hyperlink" Target="http://temples.ru/card.php?ID=4911" TargetMode="External"/><Relationship Id="rId370" Type="http://schemas.openxmlformats.org/officeDocument/2006/relationships/hyperlink" Target="http://localhost:8111/load_object?objects=w403330347&amp;referrers=false" TargetMode="External"/><Relationship Id="rId391" Type="http://schemas.openxmlformats.org/officeDocument/2006/relationships/hyperlink" Target="http://localhost:8111/load_object?objects=w447098306&amp;referrers=false" TargetMode="External"/><Relationship Id="rId405" Type="http://schemas.openxmlformats.org/officeDocument/2006/relationships/hyperlink" Target="http://localhost:8111/load_object?objects=w551734630&amp;referrers=false" TargetMode="External"/><Relationship Id="rId426" Type="http://schemas.openxmlformats.org/officeDocument/2006/relationships/hyperlink" Target="http://temples.ru/card.php?ID=4951" TargetMode="External"/><Relationship Id="rId447" Type="http://schemas.openxmlformats.org/officeDocument/2006/relationships/hyperlink" Target="http://temples.ru/card.php?ID=4854" TargetMode="External"/><Relationship Id="rId230" Type="http://schemas.openxmlformats.org/officeDocument/2006/relationships/hyperlink" Target="http://temples.ru/card.php?ID=2289" TargetMode="External"/><Relationship Id="rId251" Type="http://schemas.openxmlformats.org/officeDocument/2006/relationships/hyperlink" Target="http://localhost:8111/load_object?objects=w294513633&amp;referrers=false" TargetMode="External"/><Relationship Id="rId25" Type="http://schemas.openxmlformats.org/officeDocument/2006/relationships/hyperlink" Target="http://localhost:8111/load_object?objects=w45507948&amp;referrers=false" TargetMode="External"/><Relationship Id="rId46" Type="http://schemas.openxmlformats.org/officeDocument/2006/relationships/hyperlink" Target="http://temples.ru/card.php?ID=10558" TargetMode="External"/><Relationship Id="rId67" Type="http://schemas.openxmlformats.org/officeDocument/2006/relationships/hyperlink" Target="http://localhost:8111/load_object?objects=w87993398&amp;referrers=false" TargetMode="External"/><Relationship Id="rId272" Type="http://schemas.openxmlformats.org/officeDocument/2006/relationships/hyperlink" Target="http://temples.ru/card.php?ID=4919" TargetMode="External"/><Relationship Id="rId293" Type="http://schemas.openxmlformats.org/officeDocument/2006/relationships/hyperlink" Target="http://temples.ru/card.php?ID=4986" TargetMode="External"/><Relationship Id="rId307" Type="http://schemas.openxmlformats.org/officeDocument/2006/relationships/hyperlink" Target="http://temples.ru/card.php?ID=1329" TargetMode="External"/><Relationship Id="rId328" Type="http://schemas.openxmlformats.org/officeDocument/2006/relationships/hyperlink" Target="http://temples.ru/card.php?ID=4997" TargetMode="External"/><Relationship Id="rId349" Type="http://schemas.openxmlformats.org/officeDocument/2006/relationships/hyperlink" Target="http://temples.ru/card.php?ID=4871" TargetMode="External"/><Relationship Id="rId88" Type="http://schemas.openxmlformats.org/officeDocument/2006/relationships/hyperlink" Target="http://localhost:8111/load_object?objects=w129197292&amp;referrers=false" TargetMode="External"/><Relationship Id="rId111" Type="http://schemas.openxmlformats.org/officeDocument/2006/relationships/hyperlink" Target="http://temples.ru/card.php?ID=13215" TargetMode="External"/><Relationship Id="rId132" Type="http://schemas.openxmlformats.org/officeDocument/2006/relationships/hyperlink" Target="http://temples.ru/card.php?ID=1262" TargetMode="External"/><Relationship Id="rId153" Type="http://schemas.openxmlformats.org/officeDocument/2006/relationships/hyperlink" Target="http://temples.ru/card.php?ID=1310" TargetMode="External"/><Relationship Id="rId174" Type="http://schemas.openxmlformats.org/officeDocument/2006/relationships/hyperlink" Target="http://temples.ru/card.php?ID=2769" TargetMode="External"/><Relationship Id="rId195" Type="http://schemas.openxmlformats.org/officeDocument/2006/relationships/hyperlink" Target="http://localhost:8111/load_object?objects=w223222090&amp;referrers=false" TargetMode="External"/><Relationship Id="rId209" Type="http://schemas.openxmlformats.org/officeDocument/2006/relationships/hyperlink" Target="http://localhost:8111/load_object?objects=w246056432&amp;referrers=false" TargetMode="External"/><Relationship Id="rId360" Type="http://schemas.openxmlformats.org/officeDocument/2006/relationships/hyperlink" Target="http://localhost:8111/load_object?objects=w371132835&amp;referrers=false" TargetMode="External"/><Relationship Id="rId381" Type="http://schemas.openxmlformats.org/officeDocument/2006/relationships/hyperlink" Target="http://localhost:8111/load_object?objects=w431705846&amp;referrers=false" TargetMode="External"/><Relationship Id="rId416" Type="http://schemas.openxmlformats.org/officeDocument/2006/relationships/hyperlink" Target="http://temples.ru/card.php?ID=4942" TargetMode="External"/><Relationship Id="rId220" Type="http://schemas.openxmlformats.org/officeDocument/2006/relationships/hyperlink" Target="http://localhost:8111/load_object?objects=w260713943&amp;referrers=false" TargetMode="External"/><Relationship Id="rId241" Type="http://schemas.openxmlformats.org/officeDocument/2006/relationships/hyperlink" Target="http://localhost:8111/load_object?objects=w282199866&amp;referrers=false" TargetMode="External"/><Relationship Id="rId437" Type="http://schemas.openxmlformats.org/officeDocument/2006/relationships/hyperlink" Target="http://localhost:8111/load_object?objects=r6648137&amp;referrers=false" TargetMode="External"/><Relationship Id="rId15" Type="http://schemas.openxmlformats.org/officeDocument/2006/relationships/hyperlink" Target="http://localhost:8111/load_object?objects=w36129619&amp;referrers=false" TargetMode="External"/><Relationship Id="rId36" Type="http://schemas.openxmlformats.org/officeDocument/2006/relationships/hyperlink" Target="http://temples.ru/card.php?ID=5299" TargetMode="External"/><Relationship Id="rId57" Type="http://schemas.openxmlformats.org/officeDocument/2006/relationships/hyperlink" Target="http://localhost:8111/load_object?objects=w87965546&amp;referrers=false" TargetMode="External"/><Relationship Id="rId262" Type="http://schemas.openxmlformats.org/officeDocument/2006/relationships/hyperlink" Target="http://temples.ru/card.php?ID=1292" TargetMode="External"/><Relationship Id="rId283" Type="http://schemas.openxmlformats.org/officeDocument/2006/relationships/hyperlink" Target="http://localhost:8111/load_object?objects=w322625136&amp;referrers=false" TargetMode="External"/><Relationship Id="rId318" Type="http://schemas.openxmlformats.org/officeDocument/2006/relationships/hyperlink" Target="http://localhost:8111/load_object?objects=w330263817&amp;referrers=false" TargetMode="External"/><Relationship Id="rId339" Type="http://schemas.openxmlformats.org/officeDocument/2006/relationships/hyperlink" Target="http://temples.ru/card.php?ID=4945" TargetMode="External"/><Relationship Id="rId78" Type="http://schemas.openxmlformats.org/officeDocument/2006/relationships/hyperlink" Target="http://temples.ru/card.php?ID=5298" TargetMode="External"/><Relationship Id="rId99" Type="http://schemas.openxmlformats.org/officeDocument/2006/relationships/hyperlink" Target="http://localhost:8111/load_object?objects=w168519020&amp;referrers=false" TargetMode="External"/><Relationship Id="rId101" Type="http://schemas.openxmlformats.org/officeDocument/2006/relationships/hyperlink" Target="http://localhost:8111/load_object?objects=w168887225&amp;referrers=false" TargetMode="External"/><Relationship Id="rId122" Type="http://schemas.openxmlformats.org/officeDocument/2006/relationships/hyperlink" Target="http://temples.ru/card.php?ID=1263" TargetMode="External"/><Relationship Id="rId143" Type="http://schemas.openxmlformats.org/officeDocument/2006/relationships/hyperlink" Target="http://temples.ru/card.php?ID=1333" TargetMode="External"/><Relationship Id="rId164" Type="http://schemas.openxmlformats.org/officeDocument/2006/relationships/hyperlink" Target="http://temples.ru/card.php?ID=1278" TargetMode="External"/><Relationship Id="rId185" Type="http://schemas.openxmlformats.org/officeDocument/2006/relationships/hyperlink" Target="http://temples.ru/card.php?ID=5285" TargetMode="External"/><Relationship Id="rId350" Type="http://schemas.openxmlformats.org/officeDocument/2006/relationships/hyperlink" Target="http://localhost:8111/load_object?objects=w367350244&amp;referrers=false" TargetMode="External"/><Relationship Id="rId371" Type="http://schemas.openxmlformats.org/officeDocument/2006/relationships/hyperlink" Target="http://temples.ru/card.php?ID=5017" TargetMode="External"/><Relationship Id="rId406" Type="http://schemas.openxmlformats.org/officeDocument/2006/relationships/hyperlink" Target="http://localhost:8111/load_object?objects=w551871953&amp;referrers=false" TargetMode="External"/><Relationship Id="rId9" Type="http://schemas.openxmlformats.org/officeDocument/2006/relationships/hyperlink" Target="http://localhost:8111/load_object?objects=w35551878&amp;referrers=false" TargetMode="External"/><Relationship Id="rId210" Type="http://schemas.openxmlformats.org/officeDocument/2006/relationships/hyperlink" Target="http://temples.ru/card.php?ID=4896" TargetMode="External"/><Relationship Id="rId392" Type="http://schemas.openxmlformats.org/officeDocument/2006/relationships/hyperlink" Target="http://temples.ru/card.php?ID=5010" TargetMode="External"/><Relationship Id="rId427" Type="http://schemas.openxmlformats.org/officeDocument/2006/relationships/hyperlink" Target="http://localhost:8111/load_object?objects=r2880779&amp;referrers=false" TargetMode="External"/><Relationship Id="rId448" Type="http://schemas.openxmlformats.org/officeDocument/2006/relationships/hyperlink" Target="http://localhost:8111/load_object?objects=r7948571&amp;referrers=false" TargetMode="External"/><Relationship Id="rId26" Type="http://schemas.openxmlformats.org/officeDocument/2006/relationships/hyperlink" Target="http://temples.ru/card.php?ID=4877" TargetMode="External"/><Relationship Id="rId231" Type="http://schemas.openxmlformats.org/officeDocument/2006/relationships/hyperlink" Target="http://localhost:8111/load_object?objects=w277544964&amp;referrers=false" TargetMode="External"/><Relationship Id="rId252" Type="http://schemas.openxmlformats.org/officeDocument/2006/relationships/hyperlink" Target="http://temples.ru/card.php?ID=10494" TargetMode="External"/><Relationship Id="rId273" Type="http://schemas.openxmlformats.org/officeDocument/2006/relationships/hyperlink" Target="http://localhost:8111/load_object?objects=w294711943&amp;referrers=false" TargetMode="External"/><Relationship Id="rId294" Type="http://schemas.openxmlformats.org/officeDocument/2006/relationships/hyperlink" Target="http://localhost:8111/load_object?objects=w326305136&amp;referrers=false" TargetMode="External"/><Relationship Id="rId308" Type="http://schemas.openxmlformats.org/officeDocument/2006/relationships/hyperlink" Target="http://localhost:8111/load_object?objects=w327339345&amp;referrers=false" TargetMode="External"/><Relationship Id="rId329" Type="http://schemas.openxmlformats.org/officeDocument/2006/relationships/hyperlink" Target="http://localhost:8111/load_object?objects=w363733997&amp;referrers=false" TargetMode="External"/><Relationship Id="rId47" Type="http://schemas.openxmlformats.org/officeDocument/2006/relationships/hyperlink" Target="http://localhost:8111/load_object?objects=w87827025&amp;referrers=false" TargetMode="External"/><Relationship Id="rId68" Type="http://schemas.openxmlformats.org/officeDocument/2006/relationships/hyperlink" Target="http://temples.ru/card.php?ID=5292" TargetMode="External"/><Relationship Id="rId89" Type="http://schemas.openxmlformats.org/officeDocument/2006/relationships/hyperlink" Target="http://temples.ru/card.php?ID=7924" TargetMode="External"/><Relationship Id="rId112" Type="http://schemas.openxmlformats.org/officeDocument/2006/relationships/hyperlink" Target="http://localhost:8111/load_object?objects=w171750412&amp;referrers=false" TargetMode="External"/><Relationship Id="rId133" Type="http://schemas.openxmlformats.org/officeDocument/2006/relationships/hyperlink" Target="http://localhost:8111/load_object?objects=w174700054&amp;referrers=false" TargetMode="External"/><Relationship Id="rId154" Type="http://schemas.openxmlformats.org/officeDocument/2006/relationships/hyperlink" Target="http://localhost:8111/load_object?objects=w187377957&amp;referrers=false" TargetMode="External"/><Relationship Id="rId175" Type="http://schemas.openxmlformats.org/officeDocument/2006/relationships/hyperlink" Target="http://localhost:8111/load_object?objects=w206151689&amp;referrers=false" TargetMode="External"/><Relationship Id="rId340" Type="http://schemas.openxmlformats.org/officeDocument/2006/relationships/hyperlink" Target="http://localhost:8111/load_object?objects=w367350234&amp;referrers=false" TargetMode="External"/><Relationship Id="rId361" Type="http://schemas.openxmlformats.org/officeDocument/2006/relationships/hyperlink" Target="http://temples.ru/card.php?ID=11053" TargetMode="External"/><Relationship Id="rId196" Type="http://schemas.openxmlformats.org/officeDocument/2006/relationships/hyperlink" Target="http://localhost:8111/load_object?objects=w224055349&amp;referrers=false" TargetMode="External"/><Relationship Id="rId200" Type="http://schemas.openxmlformats.org/officeDocument/2006/relationships/hyperlink" Target="http://localhost:8111/load_object?objects=w231602411&amp;referrers=false" TargetMode="External"/><Relationship Id="rId382" Type="http://schemas.openxmlformats.org/officeDocument/2006/relationships/hyperlink" Target="http://temples.ru/card.php?ID=4958" TargetMode="External"/><Relationship Id="rId417" Type="http://schemas.openxmlformats.org/officeDocument/2006/relationships/hyperlink" Target="http://localhost:8111/load_object?objects=w566870728&amp;referrers=false" TargetMode="External"/><Relationship Id="rId438" Type="http://schemas.openxmlformats.org/officeDocument/2006/relationships/hyperlink" Target="http://temples.ru/card.php?ID=4867" TargetMode="External"/><Relationship Id="rId16" Type="http://schemas.openxmlformats.org/officeDocument/2006/relationships/hyperlink" Target="http://localhost:8111/load_object?objects=w36866037&amp;referrers=false" TargetMode="External"/><Relationship Id="rId221" Type="http://schemas.openxmlformats.org/officeDocument/2006/relationships/hyperlink" Target="http://temples.ru/card.php?ID=11072" TargetMode="External"/><Relationship Id="rId242" Type="http://schemas.openxmlformats.org/officeDocument/2006/relationships/hyperlink" Target="http://temples.ru/card.php?ID=4935" TargetMode="External"/><Relationship Id="rId263" Type="http://schemas.openxmlformats.org/officeDocument/2006/relationships/hyperlink" Target="http://localhost:8111/load_object?objects=w294542682&amp;referrers=false" TargetMode="External"/><Relationship Id="rId284" Type="http://schemas.openxmlformats.org/officeDocument/2006/relationships/hyperlink" Target="http://localhost:8111/load_object?objects=w325803814&amp;referrers=false" TargetMode="External"/><Relationship Id="rId319" Type="http://schemas.openxmlformats.org/officeDocument/2006/relationships/hyperlink" Target="http://temples.ru/card.php?ID=8405" TargetMode="External"/><Relationship Id="rId37" Type="http://schemas.openxmlformats.org/officeDocument/2006/relationships/hyperlink" Target="http://localhost:8111/load_object?objects=w86056120&amp;referrers=false" TargetMode="External"/><Relationship Id="rId58" Type="http://schemas.openxmlformats.org/officeDocument/2006/relationships/hyperlink" Target="http://temples.ru/card.php?ID=5153" TargetMode="External"/><Relationship Id="rId79" Type="http://schemas.openxmlformats.org/officeDocument/2006/relationships/hyperlink" Target="http://localhost:8111/load_object?objects=w118842295&amp;referrers=false" TargetMode="External"/><Relationship Id="rId102" Type="http://schemas.openxmlformats.org/officeDocument/2006/relationships/hyperlink" Target="http://localhost:8111/load_object?objects=w168944075&amp;referrers=false" TargetMode="External"/><Relationship Id="rId123" Type="http://schemas.openxmlformats.org/officeDocument/2006/relationships/hyperlink" Target="http://localhost:8111/load_object?objects=w174696500&amp;referrers=false" TargetMode="External"/><Relationship Id="rId144" Type="http://schemas.openxmlformats.org/officeDocument/2006/relationships/hyperlink" Target="http://localhost:8111/load_object?objects=w180840007&amp;referrers=false" TargetMode="External"/><Relationship Id="rId330" Type="http://schemas.openxmlformats.org/officeDocument/2006/relationships/hyperlink" Target="http://localhost:8111/load_object?objects=w367109241&amp;referrers=false" TargetMode="External"/><Relationship Id="rId90" Type="http://schemas.openxmlformats.org/officeDocument/2006/relationships/hyperlink" Target="http://localhost:8111/load_object?objects=w139956654&amp;referrers=false" TargetMode="External"/><Relationship Id="rId165" Type="http://schemas.openxmlformats.org/officeDocument/2006/relationships/hyperlink" Target="http://localhost:8111/load_object?objects=w206132345&amp;referrers=false" TargetMode="External"/><Relationship Id="rId186" Type="http://schemas.openxmlformats.org/officeDocument/2006/relationships/hyperlink" Target="http://localhost:8111/load_object?objects=w215302044&amp;referrers=false" TargetMode="External"/><Relationship Id="rId351" Type="http://schemas.openxmlformats.org/officeDocument/2006/relationships/hyperlink" Target="http://temples.ru/card.php?ID=4840" TargetMode="External"/><Relationship Id="rId372" Type="http://schemas.openxmlformats.org/officeDocument/2006/relationships/hyperlink" Target="http://localhost:8111/load_object?objects=w403337970&amp;referrers=false" TargetMode="External"/><Relationship Id="rId393" Type="http://schemas.openxmlformats.org/officeDocument/2006/relationships/hyperlink" Target="http://localhost:8111/load_object?objects=w453538438&amp;referrers=false" TargetMode="External"/><Relationship Id="rId407" Type="http://schemas.openxmlformats.org/officeDocument/2006/relationships/hyperlink" Target="http://localhost:8111/load_object?objects=w554681103&amp;referrers=false" TargetMode="External"/><Relationship Id="rId428" Type="http://schemas.openxmlformats.org/officeDocument/2006/relationships/hyperlink" Target="http://temples.ru/card.php?ID=14416" TargetMode="External"/><Relationship Id="rId449" Type="http://schemas.openxmlformats.org/officeDocument/2006/relationships/hyperlink" Target="http://temples.ru/card.php?ID=4849" TargetMode="External"/><Relationship Id="rId211" Type="http://schemas.openxmlformats.org/officeDocument/2006/relationships/hyperlink" Target="http://localhost:8111/load_object?objects=w248167445&amp;referrers=false" TargetMode="External"/><Relationship Id="rId232" Type="http://schemas.openxmlformats.org/officeDocument/2006/relationships/hyperlink" Target="http://temples.ru/card.php?ID=4831" TargetMode="External"/><Relationship Id="rId253" Type="http://schemas.openxmlformats.org/officeDocument/2006/relationships/hyperlink" Target="http://localhost:8111/load_object?objects=w294519938&amp;referrers=false" TargetMode="External"/><Relationship Id="rId274" Type="http://schemas.openxmlformats.org/officeDocument/2006/relationships/hyperlink" Target="http://localhost:8111/load_object?objects=w312333731&amp;referrers=false" TargetMode="External"/><Relationship Id="rId295" Type="http://schemas.openxmlformats.org/officeDocument/2006/relationships/hyperlink" Target="http://temples.ru/card.php?ID=4995" TargetMode="External"/><Relationship Id="rId309" Type="http://schemas.openxmlformats.org/officeDocument/2006/relationships/hyperlink" Target="http://temples.ru/card.php?ID=1332" TargetMode="External"/><Relationship Id="rId27" Type="http://schemas.openxmlformats.org/officeDocument/2006/relationships/hyperlink" Target="http://localhost:8111/load_object?objects=w70698975&amp;referrers=false" TargetMode="External"/><Relationship Id="rId48" Type="http://schemas.openxmlformats.org/officeDocument/2006/relationships/hyperlink" Target="http://temples.ru/card.php?ID=5428" TargetMode="External"/><Relationship Id="rId69" Type="http://schemas.openxmlformats.org/officeDocument/2006/relationships/hyperlink" Target="http://localhost:8111/load_object?objects=w87993431&amp;referrers=false" TargetMode="External"/><Relationship Id="rId113" Type="http://schemas.openxmlformats.org/officeDocument/2006/relationships/hyperlink" Target="http://temples.ru/card.php?ID=13230" TargetMode="External"/><Relationship Id="rId134" Type="http://schemas.openxmlformats.org/officeDocument/2006/relationships/hyperlink" Target="http://temples.ru/card.php?ID=1255" TargetMode="External"/><Relationship Id="rId320" Type="http://schemas.openxmlformats.org/officeDocument/2006/relationships/hyperlink" Target="http://localhost:8111/load_object?objects=w338799390&amp;referrers=false" TargetMode="External"/><Relationship Id="rId80" Type="http://schemas.openxmlformats.org/officeDocument/2006/relationships/hyperlink" Target="http://localhost:8111/load_object?objects=w121794867&amp;referrers=false" TargetMode="External"/><Relationship Id="rId155" Type="http://schemas.openxmlformats.org/officeDocument/2006/relationships/hyperlink" Target="http://temples.ru/card.php?ID=4873" TargetMode="External"/><Relationship Id="rId176" Type="http://schemas.openxmlformats.org/officeDocument/2006/relationships/hyperlink" Target="http://temples.ru/card.php?ID=2727" TargetMode="External"/><Relationship Id="rId197" Type="http://schemas.openxmlformats.org/officeDocument/2006/relationships/hyperlink" Target="http://temples.ru/card.php?ID=10497" TargetMode="External"/><Relationship Id="rId341" Type="http://schemas.openxmlformats.org/officeDocument/2006/relationships/hyperlink" Target="http://temples.ru/card.php?ID=4859" TargetMode="External"/><Relationship Id="rId362" Type="http://schemas.openxmlformats.org/officeDocument/2006/relationships/hyperlink" Target="http://localhost:8111/load_object?objects=w372209437&amp;referrers=false" TargetMode="External"/><Relationship Id="rId383" Type="http://schemas.openxmlformats.org/officeDocument/2006/relationships/hyperlink" Target="http://localhost:8111/load_object?objects=w431852061&amp;referrers=false" TargetMode="External"/><Relationship Id="rId418" Type="http://schemas.openxmlformats.org/officeDocument/2006/relationships/hyperlink" Target="http://temples.ru/card.php?ID=5007" TargetMode="External"/><Relationship Id="rId439" Type="http://schemas.openxmlformats.org/officeDocument/2006/relationships/hyperlink" Target="http://localhost:8111/load_object?objects=r6648138&amp;referrers=false" TargetMode="External"/><Relationship Id="rId201" Type="http://schemas.openxmlformats.org/officeDocument/2006/relationships/hyperlink" Target="http://temples.ru/card.php?ID=6778" TargetMode="External"/><Relationship Id="rId222" Type="http://schemas.openxmlformats.org/officeDocument/2006/relationships/hyperlink" Target="http://localhost:8111/load_object?objects=w261706519&amp;referrers=false" TargetMode="External"/><Relationship Id="rId243" Type="http://schemas.openxmlformats.org/officeDocument/2006/relationships/hyperlink" Target="http://localhost:8111/load_object?objects=w282205967&amp;referrers=false" TargetMode="External"/><Relationship Id="rId264" Type="http://schemas.openxmlformats.org/officeDocument/2006/relationships/hyperlink" Target="http://temples.ru/card.php?ID=9079" TargetMode="External"/><Relationship Id="rId285" Type="http://schemas.openxmlformats.org/officeDocument/2006/relationships/hyperlink" Target="http://temples.ru/card.php?ID=4982" TargetMode="External"/><Relationship Id="rId450" Type="http://schemas.openxmlformats.org/officeDocument/2006/relationships/hyperlink" Target="http://localhost:8111/load_object?objects=r7974036&amp;referrers=false" TargetMode="External"/><Relationship Id="rId17" Type="http://schemas.openxmlformats.org/officeDocument/2006/relationships/hyperlink" Target="http://localhost:8111/load_object?objects=w36888077&amp;referrers=false" TargetMode="External"/><Relationship Id="rId38" Type="http://schemas.openxmlformats.org/officeDocument/2006/relationships/hyperlink" Target="http://temples.ru/card.php?ID=5426" TargetMode="External"/><Relationship Id="rId59" Type="http://schemas.openxmlformats.org/officeDocument/2006/relationships/hyperlink" Target="http://localhost:8111/load_object?objects=w87965554&amp;referrers=false" TargetMode="External"/><Relationship Id="rId103" Type="http://schemas.openxmlformats.org/officeDocument/2006/relationships/hyperlink" Target="http://temples.ru/card.php?ID=1254" TargetMode="External"/><Relationship Id="rId124" Type="http://schemas.openxmlformats.org/officeDocument/2006/relationships/hyperlink" Target="http://temples.ru/card.php?ID=1260" TargetMode="External"/><Relationship Id="rId310" Type="http://schemas.openxmlformats.org/officeDocument/2006/relationships/hyperlink" Target="http://localhost:8111/load_object?objects=w327877621&amp;referrers=false" TargetMode="External"/><Relationship Id="rId70" Type="http://schemas.openxmlformats.org/officeDocument/2006/relationships/hyperlink" Target="http://temples.ru/card.php?ID=5125" TargetMode="External"/><Relationship Id="rId91" Type="http://schemas.openxmlformats.org/officeDocument/2006/relationships/hyperlink" Target="http://localhost:8111/load_object?objects=w162380972&amp;referrers=false" TargetMode="External"/><Relationship Id="rId145" Type="http://schemas.openxmlformats.org/officeDocument/2006/relationships/hyperlink" Target="http://temples.ru/card.php?ID=1360" TargetMode="External"/><Relationship Id="rId166" Type="http://schemas.openxmlformats.org/officeDocument/2006/relationships/hyperlink" Target="http://temples.ru/card.php?ID=17611" TargetMode="External"/><Relationship Id="rId187" Type="http://schemas.openxmlformats.org/officeDocument/2006/relationships/hyperlink" Target="http://localhost:8111/load_object?objects=w215646382&amp;referrers=false" TargetMode="External"/><Relationship Id="rId331" Type="http://schemas.openxmlformats.org/officeDocument/2006/relationships/hyperlink" Target="http://temples.ru/card.php?ID=4970" TargetMode="External"/><Relationship Id="rId352" Type="http://schemas.openxmlformats.org/officeDocument/2006/relationships/hyperlink" Target="http://localhost:8111/load_object?objects=w367350248&amp;referrers=false" TargetMode="External"/><Relationship Id="rId373" Type="http://schemas.openxmlformats.org/officeDocument/2006/relationships/hyperlink" Target="http://temples.ru/card.php?ID=4926" TargetMode="External"/><Relationship Id="rId394" Type="http://schemas.openxmlformats.org/officeDocument/2006/relationships/hyperlink" Target="http://localhost:8111/load_object?objects=w497266713&amp;referrers=false" TargetMode="External"/><Relationship Id="rId408" Type="http://schemas.openxmlformats.org/officeDocument/2006/relationships/hyperlink" Target="http://localhost:8111/load_object?objects=w555198500&amp;referrers=false" TargetMode="External"/><Relationship Id="rId429" Type="http://schemas.openxmlformats.org/officeDocument/2006/relationships/hyperlink" Target="http://localhost:8111/load_object?objects=r3554902&amp;referrers=false" TargetMode="External"/><Relationship Id="rId1" Type="http://schemas.openxmlformats.org/officeDocument/2006/relationships/hyperlink" Target="http://localhost:8111/load_object?objects=w24878151&amp;referrers=false" TargetMode="External"/><Relationship Id="rId212" Type="http://schemas.openxmlformats.org/officeDocument/2006/relationships/hyperlink" Target="http://localhost:8111/load_object?objects=w252051070&amp;referrers=false" TargetMode="External"/><Relationship Id="rId233" Type="http://schemas.openxmlformats.org/officeDocument/2006/relationships/hyperlink" Target="http://localhost:8111/load_object?objects=w277544965&amp;referrers=false" TargetMode="External"/><Relationship Id="rId254" Type="http://schemas.openxmlformats.org/officeDocument/2006/relationships/hyperlink" Target="http://temples.ru/card.php?ID=1273" TargetMode="External"/><Relationship Id="rId440" Type="http://schemas.openxmlformats.org/officeDocument/2006/relationships/hyperlink" Target="http://temples.ru/card.php?ID=4866" TargetMode="External"/><Relationship Id="rId28" Type="http://schemas.openxmlformats.org/officeDocument/2006/relationships/hyperlink" Target="http://temples.ru/card.php?ID=1344" TargetMode="External"/><Relationship Id="rId49" Type="http://schemas.openxmlformats.org/officeDocument/2006/relationships/hyperlink" Target="http://localhost:8111/load_object?objects=w87827039&amp;referrers=false" TargetMode="External"/><Relationship Id="rId114" Type="http://schemas.openxmlformats.org/officeDocument/2006/relationships/hyperlink" Target="http://localhost:8111/load_object?objects=w172183012&amp;referrers=false" TargetMode="External"/><Relationship Id="rId275" Type="http://schemas.openxmlformats.org/officeDocument/2006/relationships/hyperlink" Target="http://temples.ru/card.php?ID=4942" TargetMode="External"/><Relationship Id="rId296" Type="http://schemas.openxmlformats.org/officeDocument/2006/relationships/hyperlink" Target="http://localhost:8111/load_object?objects=w327327818&amp;referrers=false" TargetMode="External"/><Relationship Id="rId300" Type="http://schemas.openxmlformats.org/officeDocument/2006/relationships/hyperlink" Target="http://localhost:8111/load_object?objects=w327339338&amp;referrers=false" TargetMode="External"/><Relationship Id="rId60" Type="http://schemas.openxmlformats.org/officeDocument/2006/relationships/hyperlink" Target="http://localhost:8111/load_object?objects=w87965555&amp;referrers=false" TargetMode="External"/><Relationship Id="rId81" Type="http://schemas.openxmlformats.org/officeDocument/2006/relationships/hyperlink" Target="http://temples.ru/card.php?ID=2718" TargetMode="External"/><Relationship Id="rId135" Type="http://schemas.openxmlformats.org/officeDocument/2006/relationships/hyperlink" Target="http://localhost:8111/load_object?objects=w176273120&amp;referrers=false" TargetMode="External"/><Relationship Id="rId156" Type="http://schemas.openxmlformats.org/officeDocument/2006/relationships/hyperlink" Target="http://localhost:8111/load_object?objects=w188188546&amp;referrers=false" TargetMode="External"/><Relationship Id="rId177" Type="http://schemas.openxmlformats.org/officeDocument/2006/relationships/hyperlink" Target="http://localhost:8111/load_object?objects=w206288038&amp;referrers=false" TargetMode="External"/><Relationship Id="rId198" Type="http://schemas.openxmlformats.org/officeDocument/2006/relationships/hyperlink" Target="http://localhost:8111/load_object?objects=w231493212&amp;referrers=false" TargetMode="External"/><Relationship Id="rId321" Type="http://schemas.openxmlformats.org/officeDocument/2006/relationships/hyperlink" Target="http://localhost:8111/load_object?objects=w340734385&amp;referrers=false" TargetMode="External"/><Relationship Id="rId342" Type="http://schemas.openxmlformats.org/officeDocument/2006/relationships/hyperlink" Target="http://localhost:8111/load_object?objects=w367350237&amp;referrers=false" TargetMode="External"/><Relationship Id="rId363" Type="http://schemas.openxmlformats.org/officeDocument/2006/relationships/hyperlink" Target="http://temples.ru/card.php?ID=4962" TargetMode="External"/><Relationship Id="rId384" Type="http://schemas.openxmlformats.org/officeDocument/2006/relationships/hyperlink" Target="http://temples.ru/card.php?ID=4852" TargetMode="External"/><Relationship Id="rId419" Type="http://schemas.openxmlformats.org/officeDocument/2006/relationships/hyperlink" Target="http://localhost:8111/load_object?objects=w571277625&amp;referrers=false" TargetMode="External"/><Relationship Id="rId202" Type="http://schemas.openxmlformats.org/officeDocument/2006/relationships/hyperlink" Target="http://localhost:8111/load_object?objects=w236152997&amp;referrers=false" TargetMode="External"/><Relationship Id="rId223" Type="http://schemas.openxmlformats.org/officeDocument/2006/relationships/hyperlink" Target="http://temples.ru/card.php?ID=4990" TargetMode="External"/><Relationship Id="rId244" Type="http://schemas.openxmlformats.org/officeDocument/2006/relationships/hyperlink" Target="http://temples.ru/card.php?ID=4964" TargetMode="External"/><Relationship Id="rId430" Type="http://schemas.openxmlformats.org/officeDocument/2006/relationships/hyperlink" Target="http://temples.ru/card.php?ID=4890" TargetMode="External"/><Relationship Id="rId18" Type="http://schemas.openxmlformats.org/officeDocument/2006/relationships/hyperlink" Target="http://temples.ru/card.php?ID=4832" TargetMode="External"/><Relationship Id="rId39" Type="http://schemas.openxmlformats.org/officeDocument/2006/relationships/hyperlink" Target="http://localhost:8111/load_object?objects=w86537254&amp;referrers=false" TargetMode="External"/><Relationship Id="rId265" Type="http://schemas.openxmlformats.org/officeDocument/2006/relationships/hyperlink" Target="http://localhost:8111/load_object?objects=w294565422&amp;referrers=false" TargetMode="External"/><Relationship Id="rId286" Type="http://schemas.openxmlformats.org/officeDocument/2006/relationships/hyperlink" Target="http://localhost:8111/load_object?objects=w325810380&amp;referrers=false" TargetMode="External"/><Relationship Id="rId451" Type="http://schemas.openxmlformats.org/officeDocument/2006/relationships/hyperlink" Target="http://temples.ru/card.php?ID=3438" TargetMode="External"/><Relationship Id="rId50" Type="http://schemas.openxmlformats.org/officeDocument/2006/relationships/hyperlink" Target="http://temples.ru/card.php?ID=5430" TargetMode="External"/><Relationship Id="rId104" Type="http://schemas.openxmlformats.org/officeDocument/2006/relationships/hyperlink" Target="http://localhost:8111/load_object?objects=w168944810&amp;referrers=false" TargetMode="External"/><Relationship Id="rId125" Type="http://schemas.openxmlformats.org/officeDocument/2006/relationships/hyperlink" Target="http://localhost:8111/load_object?objects=w174696501&amp;referrers=false" TargetMode="External"/><Relationship Id="rId146" Type="http://schemas.openxmlformats.org/officeDocument/2006/relationships/hyperlink" Target="http://localhost:8111/load_object?objects=w181205357&amp;referrers=false" TargetMode="External"/><Relationship Id="rId167" Type="http://schemas.openxmlformats.org/officeDocument/2006/relationships/hyperlink" Target="http://localhost:8111/load_object?objects=w206132346&amp;referrers=false" TargetMode="External"/><Relationship Id="rId188" Type="http://schemas.openxmlformats.org/officeDocument/2006/relationships/hyperlink" Target="http://temples.ru/card.php?ID=12162" TargetMode="External"/><Relationship Id="rId311" Type="http://schemas.openxmlformats.org/officeDocument/2006/relationships/hyperlink" Target="http://temples.ru/card.php?ID=8471" TargetMode="External"/><Relationship Id="rId332" Type="http://schemas.openxmlformats.org/officeDocument/2006/relationships/hyperlink" Target="http://localhost:8111/load_object?objects=w367168144&amp;referrers=false" TargetMode="External"/><Relationship Id="rId353" Type="http://schemas.openxmlformats.org/officeDocument/2006/relationships/hyperlink" Target="http://temples.ru/card.php?ID=4120" TargetMode="External"/><Relationship Id="rId374" Type="http://schemas.openxmlformats.org/officeDocument/2006/relationships/hyperlink" Target="http://localhost:8111/load_object?objects=w414931432&amp;referrers=false" TargetMode="External"/><Relationship Id="rId395" Type="http://schemas.openxmlformats.org/officeDocument/2006/relationships/hyperlink" Target="http://temples.ru/card.php?ID=1281" TargetMode="External"/><Relationship Id="rId409" Type="http://schemas.openxmlformats.org/officeDocument/2006/relationships/hyperlink" Target="http://temples.ru/card.php?ID=4855" TargetMode="External"/><Relationship Id="rId71" Type="http://schemas.openxmlformats.org/officeDocument/2006/relationships/hyperlink" Target="http://localhost:8111/load_object?objects=w89480196&amp;referrers=false" TargetMode="External"/><Relationship Id="rId92" Type="http://schemas.openxmlformats.org/officeDocument/2006/relationships/hyperlink" Target="http://localhost:8111/load_object?objects=w167288787&amp;referrers=false" TargetMode="External"/><Relationship Id="rId213" Type="http://schemas.openxmlformats.org/officeDocument/2006/relationships/hyperlink" Target="http://temples.ru/card.php?ID=13225" TargetMode="External"/><Relationship Id="rId234" Type="http://schemas.openxmlformats.org/officeDocument/2006/relationships/hyperlink" Target="http://temples.ru/card.php?ID=4830" TargetMode="External"/><Relationship Id="rId420" Type="http://schemas.openxmlformats.org/officeDocument/2006/relationships/hyperlink" Target="http://temples.ru/card.php?ID=4924" TargetMode="External"/><Relationship Id="rId2" Type="http://schemas.openxmlformats.org/officeDocument/2006/relationships/hyperlink" Target="http://localhost:8111/load_object?objects=w35447047&amp;referrers=false" TargetMode="External"/><Relationship Id="rId29" Type="http://schemas.openxmlformats.org/officeDocument/2006/relationships/hyperlink" Target="http://localhost:8111/load_object?objects=w85523961&amp;referrers=false" TargetMode="External"/><Relationship Id="rId255" Type="http://schemas.openxmlformats.org/officeDocument/2006/relationships/hyperlink" Target="http://localhost:8111/load_object?objects=w294519939&amp;referrers=false" TargetMode="External"/><Relationship Id="rId276" Type="http://schemas.openxmlformats.org/officeDocument/2006/relationships/hyperlink" Target="http://localhost:8111/load_object?objects=w312969574&amp;referrers=false" TargetMode="External"/><Relationship Id="rId297" Type="http://schemas.openxmlformats.org/officeDocument/2006/relationships/hyperlink" Target="http://temples.ru/card.php?ID=8655" TargetMode="External"/><Relationship Id="rId441" Type="http://schemas.openxmlformats.org/officeDocument/2006/relationships/hyperlink" Target="http://localhost:8111/load_object?objects=r6650308&amp;referrers=false" TargetMode="External"/><Relationship Id="rId40" Type="http://schemas.openxmlformats.org/officeDocument/2006/relationships/hyperlink" Target="http://temples.ru/card.php?ID=7261" TargetMode="External"/><Relationship Id="rId115" Type="http://schemas.openxmlformats.org/officeDocument/2006/relationships/hyperlink" Target="http://localhost:8111/load_object?objects=w172230815&amp;referrers=false" TargetMode="External"/><Relationship Id="rId136" Type="http://schemas.openxmlformats.org/officeDocument/2006/relationships/hyperlink" Target="http://temples.ru/card.php?ID=1287" TargetMode="External"/><Relationship Id="rId157" Type="http://schemas.openxmlformats.org/officeDocument/2006/relationships/hyperlink" Target="http://temples.ru/card.php?ID=4864" TargetMode="External"/><Relationship Id="rId178" Type="http://schemas.openxmlformats.org/officeDocument/2006/relationships/hyperlink" Target="http://temples.ru/card.php?ID=4952" TargetMode="External"/><Relationship Id="rId301" Type="http://schemas.openxmlformats.org/officeDocument/2006/relationships/hyperlink" Target="http://temples.ru/card.php?ID=1325" TargetMode="External"/><Relationship Id="rId322" Type="http://schemas.openxmlformats.org/officeDocument/2006/relationships/hyperlink" Target="http://temples.ru/card.php?ID=4853" TargetMode="External"/><Relationship Id="rId343" Type="http://schemas.openxmlformats.org/officeDocument/2006/relationships/hyperlink" Target="http://temples.ru/card.php?ID=4861" TargetMode="External"/><Relationship Id="rId364" Type="http://schemas.openxmlformats.org/officeDocument/2006/relationships/hyperlink" Target="http://localhost:8111/load_object?objects=w373059963&amp;referrers=false" TargetMode="External"/><Relationship Id="rId61" Type="http://schemas.openxmlformats.org/officeDocument/2006/relationships/hyperlink" Target="http://temples.ru/card.php?ID=5155" TargetMode="External"/><Relationship Id="rId82" Type="http://schemas.openxmlformats.org/officeDocument/2006/relationships/hyperlink" Target="http://localhost:8111/load_object?objects=w122362085&amp;referrers=false" TargetMode="External"/><Relationship Id="rId199" Type="http://schemas.openxmlformats.org/officeDocument/2006/relationships/hyperlink" Target="http://temples.ru/card.php?ID=9078" TargetMode="External"/><Relationship Id="rId203" Type="http://schemas.openxmlformats.org/officeDocument/2006/relationships/hyperlink" Target="http://temples.ru/card.php?ID=13221" TargetMode="External"/><Relationship Id="rId385" Type="http://schemas.openxmlformats.org/officeDocument/2006/relationships/hyperlink" Target="http://localhost:8111/load_object?objects=w432982049&amp;referrers=false" TargetMode="External"/><Relationship Id="rId19" Type="http://schemas.openxmlformats.org/officeDocument/2006/relationships/hyperlink" Target="http://localhost:8111/load_object?objects=w40314758&amp;referrers=false" TargetMode="External"/><Relationship Id="rId224" Type="http://schemas.openxmlformats.org/officeDocument/2006/relationships/hyperlink" Target="http://localhost:8111/load_object?objects=w267908304&amp;referrers=false" TargetMode="External"/><Relationship Id="rId245" Type="http://schemas.openxmlformats.org/officeDocument/2006/relationships/hyperlink" Target="http://localhost:8111/load_object?objects=w294497784&amp;referrers=false" TargetMode="External"/><Relationship Id="rId266" Type="http://schemas.openxmlformats.org/officeDocument/2006/relationships/hyperlink" Target="http://temples.ru/card.php?ID=1337" TargetMode="External"/><Relationship Id="rId287" Type="http://schemas.openxmlformats.org/officeDocument/2006/relationships/hyperlink" Target="http://temples.ru/card.php?ID=4927" TargetMode="External"/><Relationship Id="rId410" Type="http://schemas.openxmlformats.org/officeDocument/2006/relationships/hyperlink" Target="http://localhost:8111/load_object?objects=w560953140&amp;referrers=false" TargetMode="External"/><Relationship Id="rId431" Type="http://schemas.openxmlformats.org/officeDocument/2006/relationships/hyperlink" Target="http://localhost:8111/load_object?objects=r4436425&amp;referrers=false" TargetMode="External"/><Relationship Id="rId452" Type="http://schemas.openxmlformats.org/officeDocument/2006/relationships/hyperlink" Target="http://localhost:8111/load_object?objects=r8635484&amp;referrers=false" TargetMode="External"/><Relationship Id="rId30" Type="http://schemas.openxmlformats.org/officeDocument/2006/relationships/hyperlink" Target="http://temples.ru/card.php?ID=5416" TargetMode="External"/><Relationship Id="rId105" Type="http://schemas.openxmlformats.org/officeDocument/2006/relationships/hyperlink" Target="http://localhost:8111/load_object?objects=w168944812&amp;referrers=false" TargetMode="External"/><Relationship Id="rId126" Type="http://schemas.openxmlformats.org/officeDocument/2006/relationships/hyperlink" Target="http://temples.ru/card.php?ID=1261" TargetMode="External"/><Relationship Id="rId147" Type="http://schemas.openxmlformats.org/officeDocument/2006/relationships/hyperlink" Target="http://temples.ru/card.php?ID=10491" TargetMode="External"/><Relationship Id="rId168" Type="http://schemas.openxmlformats.org/officeDocument/2006/relationships/hyperlink" Target="http://temples.ru/card.php?ID=7927" TargetMode="External"/><Relationship Id="rId312" Type="http://schemas.openxmlformats.org/officeDocument/2006/relationships/hyperlink" Target="http://localhost:8111/load_object?objects=w327877622&amp;referrers=false" TargetMode="External"/><Relationship Id="rId333" Type="http://schemas.openxmlformats.org/officeDocument/2006/relationships/hyperlink" Target="http://temples.ru/card.php?ID=9366" TargetMode="External"/><Relationship Id="rId354" Type="http://schemas.openxmlformats.org/officeDocument/2006/relationships/hyperlink" Target="http://localhost:8111/load_object?objects=w367874174&amp;referrers=false" TargetMode="External"/><Relationship Id="rId51" Type="http://schemas.openxmlformats.org/officeDocument/2006/relationships/hyperlink" Target="http://localhost:8111/load_object?objects=w87885572&amp;referrers=false" TargetMode="External"/><Relationship Id="rId72" Type="http://schemas.openxmlformats.org/officeDocument/2006/relationships/hyperlink" Target="http://temples.ru/card.php?ID=8291" TargetMode="External"/><Relationship Id="rId93" Type="http://schemas.openxmlformats.org/officeDocument/2006/relationships/hyperlink" Target="http://temples.ru/card.php?ID=3936" TargetMode="External"/><Relationship Id="rId189" Type="http://schemas.openxmlformats.org/officeDocument/2006/relationships/hyperlink" Target="http://localhost:8111/load_object?objects=w218401394&amp;referrers=false" TargetMode="External"/><Relationship Id="rId375" Type="http://schemas.openxmlformats.org/officeDocument/2006/relationships/hyperlink" Target="http://localhost:8111/load_object?objects=w414936453&amp;referrers=false" TargetMode="External"/><Relationship Id="rId396" Type="http://schemas.openxmlformats.org/officeDocument/2006/relationships/hyperlink" Target="http://localhost:8111/load_object?objects=w521162819&amp;referrers=false" TargetMode="External"/><Relationship Id="rId3" Type="http://schemas.openxmlformats.org/officeDocument/2006/relationships/hyperlink" Target="http://localhost:8111/load_object?objects=w35447048&amp;referrers=false" TargetMode="External"/><Relationship Id="rId214" Type="http://schemas.openxmlformats.org/officeDocument/2006/relationships/hyperlink" Target="http://localhost:8111/load_object?objects=w255947708&amp;referrers=false" TargetMode="External"/><Relationship Id="rId235" Type="http://schemas.openxmlformats.org/officeDocument/2006/relationships/hyperlink" Target="http://localhost:8111/load_object?objects=w277544966&amp;referrers=false" TargetMode="External"/><Relationship Id="rId256" Type="http://schemas.openxmlformats.org/officeDocument/2006/relationships/hyperlink" Target="http://temples.ru/card.php?ID=1275" TargetMode="External"/><Relationship Id="rId277" Type="http://schemas.openxmlformats.org/officeDocument/2006/relationships/hyperlink" Target="http://temples.ru/card.php?ID=11294" TargetMode="External"/><Relationship Id="rId298" Type="http://schemas.openxmlformats.org/officeDocument/2006/relationships/hyperlink" Target="http://localhost:8111/load_object?objects=w327339337&amp;referrers=false" TargetMode="External"/><Relationship Id="rId400" Type="http://schemas.openxmlformats.org/officeDocument/2006/relationships/hyperlink" Target="http://localhost:8111/load_object?objects=w526938298&amp;referrers=false" TargetMode="External"/><Relationship Id="rId421" Type="http://schemas.openxmlformats.org/officeDocument/2006/relationships/hyperlink" Target="http://localhost:8111/load_object?objects=w586059532&amp;referrers=false" TargetMode="External"/><Relationship Id="rId442" Type="http://schemas.openxmlformats.org/officeDocument/2006/relationships/hyperlink" Target="http://localhost:8111/load_object?objects=r7926015&amp;referrers=false" TargetMode="External"/><Relationship Id="rId116" Type="http://schemas.openxmlformats.org/officeDocument/2006/relationships/hyperlink" Target="http://temples.ru/card.php?ID=4968" TargetMode="External"/><Relationship Id="rId137" Type="http://schemas.openxmlformats.org/officeDocument/2006/relationships/hyperlink" Target="http://localhost:8111/load_object?objects=w177156668&amp;referrers=false" TargetMode="External"/><Relationship Id="rId158" Type="http://schemas.openxmlformats.org/officeDocument/2006/relationships/hyperlink" Target="http://localhost:8111/load_object?objects=w193003450&amp;referrers=false" TargetMode="External"/><Relationship Id="rId302" Type="http://schemas.openxmlformats.org/officeDocument/2006/relationships/hyperlink" Target="http://localhost:8111/load_object?objects=w327339342&amp;referrers=false" TargetMode="External"/><Relationship Id="rId323" Type="http://schemas.openxmlformats.org/officeDocument/2006/relationships/hyperlink" Target="http://localhost:8111/load_object?objects=w353756754&amp;referrers=false" TargetMode="External"/><Relationship Id="rId344" Type="http://schemas.openxmlformats.org/officeDocument/2006/relationships/hyperlink" Target="http://localhost:8111/load_object?objects=w367350239&amp;referrers=false" TargetMode="External"/><Relationship Id="rId20" Type="http://schemas.openxmlformats.org/officeDocument/2006/relationships/hyperlink" Target="http://temples.ru/card.php?ID=2237" TargetMode="External"/><Relationship Id="rId41" Type="http://schemas.openxmlformats.org/officeDocument/2006/relationships/hyperlink" Target="http://localhost:8111/load_object?objects=w87567579&amp;referrers=false" TargetMode="External"/><Relationship Id="rId62" Type="http://schemas.openxmlformats.org/officeDocument/2006/relationships/hyperlink" Target="http://localhost:8111/load_object?objects=w87984181&amp;referrers=false" TargetMode="External"/><Relationship Id="rId83" Type="http://schemas.openxmlformats.org/officeDocument/2006/relationships/hyperlink" Target="http://temples.ru/card.php?ID=7953" TargetMode="External"/><Relationship Id="rId179" Type="http://schemas.openxmlformats.org/officeDocument/2006/relationships/hyperlink" Target="http://localhost:8111/load_object?objects=w207841293&amp;referrers=false" TargetMode="External"/><Relationship Id="rId365" Type="http://schemas.openxmlformats.org/officeDocument/2006/relationships/hyperlink" Target="http://temples.ru/card.php?ID=11161" TargetMode="External"/><Relationship Id="rId386" Type="http://schemas.openxmlformats.org/officeDocument/2006/relationships/hyperlink" Target="http://temples.ru/card.php?ID=9472" TargetMode="External"/><Relationship Id="rId190" Type="http://schemas.openxmlformats.org/officeDocument/2006/relationships/hyperlink" Target="http://temples.ru/card.php?ID=1323" TargetMode="External"/><Relationship Id="rId204" Type="http://schemas.openxmlformats.org/officeDocument/2006/relationships/hyperlink" Target="http://localhost:8111/load_object?objects=w237308152&amp;referrers=false" TargetMode="External"/><Relationship Id="rId225" Type="http://schemas.openxmlformats.org/officeDocument/2006/relationships/hyperlink" Target="http://localhost:8111/load_object?objects=w270300861&amp;referrers=false" TargetMode="External"/><Relationship Id="rId246" Type="http://schemas.openxmlformats.org/officeDocument/2006/relationships/hyperlink" Target="http://temples.ru/card.php?ID=1253" TargetMode="External"/><Relationship Id="rId267" Type="http://schemas.openxmlformats.org/officeDocument/2006/relationships/hyperlink" Target="http://localhost:8111/load_object?objects=w294637887&amp;referrers=false" TargetMode="External"/><Relationship Id="rId288" Type="http://schemas.openxmlformats.org/officeDocument/2006/relationships/hyperlink" Target="http://localhost:8111/load_object?objects=w325810383&amp;referrers=false" TargetMode="External"/><Relationship Id="rId411" Type="http://schemas.openxmlformats.org/officeDocument/2006/relationships/hyperlink" Target="http://localhost:8111/load_object?objects=w561350494&amp;referrers=false" TargetMode="External"/><Relationship Id="rId432" Type="http://schemas.openxmlformats.org/officeDocument/2006/relationships/hyperlink" Target="http://temples.ru/card.php?ID=1341" TargetMode="External"/><Relationship Id="rId453" Type="http://schemas.openxmlformats.org/officeDocument/2006/relationships/hyperlink" Target="http://temples.ru/card.php?ID=4826" TargetMode="External"/><Relationship Id="rId106" Type="http://schemas.openxmlformats.org/officeDocument/2006/relationships/hyperlink" Target="http://localhost:8111/load_object?objects=w169028263&amp;referrers=false" TargetMode="External"/><Relationship Id="rId127" Type="http://schemas.openxmlformats.org/officeDocument/2006/relationships/hyperlink" Target="http://localhost:8111/load_object?objects=w174696502&amp;referrers=false" TargetMode="External"/><Relationship Id="rId313" Type="http://schemas.openxmlformats.org/officeDocument/2006/relationships/hyperlink" Target="http://temples.ru/card.php?ID=8474" TargetMode="External"/><Relationship Id="rId10" Type="http://schemas.openxmlformats.org/officeDocument/2006/relationships/hyperlink" Target="http://localhost:8111/load_object?objects=w35551879&amp;referrers=false" TargetMode="External"/><Relationship Id="rId31" Type="http://schemas.openxmlformats.org/officeDocument/2006/relationships/hyperlink" Target="http://localhost:8111/load_object?objects=w86022833&amp;referrers=false" TargetMode="External"/><Relationship Id="rId52" Type="http://schemas.openxmlformats.org/officeDocument/2006/relationships/hyperlink" Target="http://temples.ru/card.php?ID=5282" TargetMode="External"/><Relationship Id="rId73" Type="http://schemas.openxmlformats.org/officeDocument/2006/relationships/hyperlink" Target="http://localhost:8111/load_object?objects=w101310768&amp;referrers=false" TargetMode="External"/><Relationship Id="rId94" Type="http://schemas.openxmlformats.org/officeDocument/2006/relationships/hyperlink" Target="http://localhost:8111/load_object?objects=w167288881&amp;referrers=false" TargetMode="External"/><Relationship Id="rId148" Type="http://schemas.openxmlformats.org/officeDocument/2006/relationships/hyperlink" Target="http://localhost:8111/load_object?objects=w181419572&amp;referrers=false" TargetMode="External"/><Relationship Id="rId169" Type="http://schemas.openxmlformats.org/officeDocument/2006/relationships/hyperlink" Target="http://localhost:8111/load_object?objects=w206132347&amp;referrers=false" TargetMode="External"/><Relationship Id="rId334" Type="http://schemas.openxmlformats.org/officeDocument/2006/relationships/hyperlink" Target="http://localhost:8111/load_object?objects=w367350229&amp;referrers=false" TargetMode="External"/><Relationship Id="rId355" Type="http://schemas.openxmlformats.org/officeDocument/2006/relationships/hyperlink" Target="http://temples.ru/card.php?ID=4930" TargetMode="External"/><Relationship Id="rId376" Type="http://schemas.openxmlformats.org/officeDocument/2006/relationships/hyperlink" Target="http://localhost:8111/load_object?objects=w414937349&amp;referrers=false" TargetMode="External"/><Relationship Id="rId397" Type="http://schemas.openxmlformats.org/officeDocument/2006/relationships/hyperlink" Target="http://temples.ru/card.php?ID=4961" TargetMode="External"/><Relationship Id="rId4" Type="http://schemas.openxmlformats.org/officeDocument/2006/relationships/hyperlink" Target="http://localhost:8111/load_object?objects=w35447050&amp;referrers=false" TargetMode="External"/><Relationship Id="rId180" Type="http://schemas.openxmlformats.org/officeDocument/2006/relationships/hyperlink" Target="http://temples.ru/card.php?ID=17615" TargetMode="External"/><Relationship Id="rId215" Type="http://schemas.openxmlformats.org/officeDocument/2006/relationships/hyperlink" Target="http://temples.ru/card.php?ID=4954" TargetMode="External"/><Relationship Id="rId236" Type="http://schemas.openxmlformats.org/officeDocument/2006/relationships/hyperlink" Target="http://temples.ru/card.php?ID=4838" TargetMode="External"/><Relationship Id="rId257" Type="http://schemas.openxmlformats.org/officeDocument/2006/relationships/hyperlink" Target="http://localhost:8111/load_object?objects=w294519940&amp;referrers=false" TargetMode="External"/><Relationship Id="rId278" Type="http://schemas.openxmlformats.org/officeDocument/2006/relationships/hyperlink" Target="http://localhost:8111/load_object?objects=w312983816&amp;referrers=false" TargetMode="External"/><Relationship Id="rId401" Type="http://schemas.openxmlformats.org/officeDocument/2006/relationships/hyperlink" Target="http://temples.ru/card.php?ID=4653" TargetMode="External"/><Relationship Id="rId422" Type="http://schemas.openxmlformats.org/officeDocument/2006/relationships/hyperlink" Target="http://localhost:8111/load_object?objects=w620682774&amp;referrers=false" TargetMode="External"/><Relationship Id="rId443" Type="http://schemas.openxmlformats.org/officeDocument/2006/relationships/hyperlink" Target="http://temples.ru/card.php?ID=4828" TargetMode="External"/><Relationship Id="rId303" Type="http://schemas.openxmlformats.org/officeDocument/2006/relationships/hyperlink" Target="http://temples.ru/card.php?ID=1361" TargetMode="External"/><Relationship Id="rId42" Type="http://schemas.openxmlformats.org/officeDocument/2006/relationships/hyperlink" Target="http://temples.ru/card.php?ID=7256" TargetMode="External"/><Relationship Id="rId84" Type="http://schemas.openxmlformats.org/officeDocument/2006/relationships/hyperlink" Target="http://localhost:8111/load_object?objects=w123307398&amp;referrers=false" TargetMode="External"/><Relationship Id="rId138" Type="http://schemas.openxmlformats.org/officeDocument/2006/relationships/hyperlink" Target="http://localhost:8111/load_object?objects=w179006892&amp;referrers=false" TargetMode="External"/><Relationship Id="rId345" Type="http://schemas.openxmlformats.org/officeDocument/2006/relationships/hyperlink" Target="http://temples.ru/card.php?ID=4860" TargetMode="External"/><Relationship Id="rId387" Type="http://schemas.openxmlformats.org/officeDocument/2006/relationships/hyperlink" Target="http://localhost:8111/load_object?objects=w433006511&amp;referrers=false" TargetMode="External"/><Relationship Id="rId191" Type="http://schemas.openxmlformats.org/officeDocument/2006/relationships/hyperlink" Target="http://localhost:8111/load_object?objects=w218401396&amp;referrers=false" TargetMode="External"/><Relationship Id="rId205" Type="http://schemas.openxmlformats.org/officeDocument/2006/relationships/hyperlink" Target="http://localhost:8111/load_object?objects=w238909939&amp;referrers=false" TargetMode="External"/><Relationship Id="rId247" Type="http://schemas.openxmlformats.org/officeDocument/2006/relationships/hyperlink" Target="http://localhost:8111/load_object?objects=w294499503&amp;referrers=false" TargetMode="External"/><Relationship Id="rId412" Type="http://schemas.openxmlformats.org/officeDocument/2006/relationships/hyperlink" Target="http://temples.ru/card.php?ID=11051" TargetMode="External"/><Relationship Id="rId107" Type="http://schemas.openxmlformats.org/officeDocument/2006/relationships/hyperlink" Target="http://temples.ru/card.php?ID=4363" TargetMode="External"/><Relationship Id="rId289" Type="http://schemas.openxmlformats.org/officeDocument/2006/relationships/hyperlink" Target="http://temples.ru/card.php?ID=4934" TargetMode="External"/><Relationship Id="rId454" Type="http://schemas.openxmlformats.org/officeDocument/2006/relationships/hyperlink" Target="http://localhost:8111/load_object?objects=r8635531&amp;referrers=false" TargetMode="External"/><Relationship Id="rId11" Type="http://schemas.openxmlformats.org/officeDocument/2006/relationships/hyperlink" Target="http://localhost:8111/load_object?objects=w36128100&amp;referrers=false" TargetMode="External"/><Relationship Id="rId53" Type="http://schemas.openxmlformats.org/officeDocument/2006/relationships/hyperlink" Target="http://localhost:8111/load_object?objects=w87885590&amp;referrers=false" TargetMode="External"/><Relationship Id="rId149" Type="http://schemas.openxmlformats.org/officeDocument/2006/relationships/hyperlink" Target="http://temples.ru/card.php?ID=4640" TargetMode="External"/><Relationship Id="rId314" Type="http://schemas.openxmlformats.org/officeDocument/2006/relationships/hyperlink" Target="http://localhost:8111/load_object?objects=w327877623&amp;referrers=false" TargetMode="External"/><Relationship Id="rId356" Type="http://schemas.openxmlformats.org/officeDocument/2006/relationships/hyperlink" Target="http://localhost:8111/load_object?objects=w370065111&amp;referrers=false" TargetMode="External"/><Relationship Id="rId398" Type="http://schemas.openxmlformats.org/officeDocument/2006/relationships/hyperlink" Target="http://localhost:8111/load_object?objects=w526938291&amp;referrers=false" TargetMode="External"/><Relationship Id="rId95" Type="http://schemas.openxmlformats.org/officeDocument/2006/relationships/hyperlink" Target="http://temples.ru/card.php?ID=3935" TargetMode="External"/><Relationship Id="rId160" Type="http://schemas.openxmlformats.org/officeDocument/2006/relationships/hyperlink" Target="http://localhost:8111/load_object?objects=w193468132&amp;referrers=false" TargetMode="External"/><Relationship Id="rId216" Type="http://schemas.openxmlformats.org/officeDocument/2006/relationships/hyperlink" Target="http://localhost:8111/load_object?objects=w256100772&amp;referrers=false" TargetMode="External"/><Relationship Id="rId423" Type="http://schemas.openxmlformats.org/officeDocument/2006/relationships/hyperlink" Target="http://localhost:8111/load_object?objects=w621316415&amp;referrers=false" TargetMode="External"/><Relationship Id="rId258" Type="http://schemas.openxmlformats.org/officeDocument/2006/relationships/hyperlink" Target="http://temples.ru/card.php?ID=1274" TargetMode="External"/><Relationship Id="rId22" Type="http://schemas.openxmlformats.org/officeDocument/2006/relationships/hyperlink" Target="http://temples.ru/card.php?ID=2280" TargetMode="External"/><Relationship Id="rId64" Type="http://schemas.openxmlformats.org/officeDocument/2006/relationships/hyperlink" Target="http://temples.ru/card.php?ID=5124" TargetMode="External"/><Relationship Id="rId118" Type="http://schemas.openxmlformats.org/officeDocument/2006/relationships/hyperlink" Target="http://temples.ru/card.php?ID=22116" TargetMode="External"/><Relationship Id="rId325" Type="http://schemas.openxmlformats.org/officeDocument/2006/relationships/hyperlink" Target="http://localhost:8111/load_object?objects=w354193583&amp;referrers=false" TargetMode="External"/><Relationship Id="rId367" Type="http://schemas.openxmlformats.org/officeDocument/2006/relationships/hyperlink" Target="http://temples.ru/card.php?ID=9186" TargetMode="External"/><Relationship Id="rId171" Type="http://schemas.openxmlformats.org/officeDocument/2006/relationships/hyperlink" Target="http://localhost:8111/load_object?objects=w206151674&amp;referrers=false" TargetMode="External"/><Relationship Id="rId227" Type="http://schemas.openxmlformats.org/officeDocument/2006/relationships/hyperlink" Target="http://localhost:8111/load_object?objects=w274667401&amp;referrers=false" TargetMode="External"/><Relationship Id="rId269" Type="http://schemas.openxmlformats.org/officeDocument/2006/relationships/hyperlink" Target="http://localhost:8111/load_object?objects=w294711941&amp;referrers=false" TargetMode="External"/><Relationship Id="rId434" Type="http://schemas.openxmlformats.org/officeDocument/2006/relationships/hyperlink" Target="http://temples.ru/card.php?ID=4827" TargetMode="External"/><Relationship Id="rId33" Type="http://schemas.openxmlformats.org/officeDocument/2006/relationships/hyperlink" Target="http://localhost:8111/load_object?objects=w86056118&amp;referrers=false" TargetMode="External"/><Relationship Id="rId129" Type="http://schemas.openxmlformats.org/officeDocument/2006/relationships/hyperlink" Target="http://localhost:8111/load_object?objects=w174697310&amp;referrers=false" TargetMode="External"/><Relationship Id="rId280" Type="http://schemas.openxmlformats.org/officeDocument/2006/relationships/hyperlink" Target="http://localhost:8111/load_object?objects=w313103431&amp;referrers=false" TargetMode="External"/><Relationship Id="rId336" Type="http://schemas.openxmlformats.org/officeDocument/2006/relationships/hyperlink" Target="http://localhost:8111/load_object?objects=w367350230&amp;referrers=false" TargetMode="External"/><Relationship Id="rId75" Type="http://schemas.openxmlformats.org/officeDocument/2006/relationships/hyperlink" Target="http://localhost:8111/load_object?objects=w110388380&amp;referrers=false" TargetMode="External"/><Relationship Id="rId140" Type="http://schemas.openxmlformats.org/officeDocument/2006/relationships/hyperlink" Target="http://localhost:8111/load_object?objects=w179341741&amp;referrers=false" TargetMode="External"/><Relationship Id="rId182" Type="http://schemas.openxmlformats.org/officeDocument/2006/relationships/hyperlink" Target="http://temples.ru/card.php?ID=4963" TargetMode="External"/><Relationship Id="rId378" Type="http://schemas.openxmlformats.org/officeDocument/2006/relationships/hyperlink" Target="http://localhost:8111/load_object?objects=w425095583&amp;referrers=false" TargetMode="External"/><Relationship Id="rId403" Type="http://schemas.openxmlformats.org/officeDocument/2006/relationships/hyperlink" Target="http://temples.ru/card.php?ID=7103" TargetMode="External"/><Relationship Id="rId6" Type="http://schemas.openxmlformats.org/officeDocument/2006/relationships/hyperlink" Target="http://localhost:8111/load_object?objects=w35546654&amp;referrers=false" TargetMode="External"/><Relationship Id="rId238" Type="http://schemas.openxmlformats.org/officeDocument/2006/relationships/hyperlink" Target="http://temples.ru/card.php?ID=9365" TargetMode="External"/><Relationship Id="rId445" Type="http://schemas.openxmlformats.org/officeDocument/2006/relationships/hyperlink" Target="http://temples.ru/card.php?ID=4858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1000"/>
  <sheetViews>
    <sheetView tabSelected="1" topLeftCell="C1" zoomScale="90" zoomScaleNormal="90" workbookViewId="0">
      <pane ySplit="1" topLeftCell="A4" activePane="bottomLeft" state="frozen"/>
      <selection pane="bottomLeft" activeCell="E262" sqref="E262"/>
    </sheetView>
  </sheetViews>
  <sheetFormatPr defaultRowHeight="15"/>
  <cols>
    <col min="1" max="1" width="7.85546875" customWidth="1"/>
    <col min="2" max="2" width="12.42578125" customWidth="1"/>
    <col min="3" max="3" width="10.140625" style="4" customWidth="1"/>
    <col min="4" max="4" width="10.42578125" style="4" customWidth="1"/>
    <col min="5" max="5" width="55.7109375" customWidth="1"/>
    <col min="6" max="6" width="36.5703125" customWidth="1"/>
    <col min="7" max="7" width="20.42578125" customWidth="1"/>
    <col min="8" max="8" width="14" customWidth="1"/>
    <col min="9" max="9" width="12.85546875" customWidth="1"/>
    <col min="10" max="10" width="10.85546875" customWidth="1"/>
    <col min="11" max="11" width="14.42578125" customWidth="1"/>
    <col min="12" max="12" width="14.140625" customWidth="1"/>
    <col min="13" max="13" width="10.7109375" customWidth="1"/>
    <col min="16" max="16" width="10" style="150" customWidth="1"/>
  </cols>
  <sheetData>
    <row r="1" spans="1:17">
      <c r="A1" s="1" t="s">
        <v>10</v>
      </c>
      <c r="B1" s="2" t="s">
        <v>7</v>
      </c>
      <c r="C1" s="5" t="s">
        <v>14</v>
      </c>
      <c r="D1" s="5" t="s">
        <v>15</v>
      </c>
      <c r="E1" s="2" t="s">
        <v>8</v>
      </c>
      <c r="F1" s="2" t="s">
        <v>9</v>
      </c>
      <c r="G1" s="2" t="s">
        <v>16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148</v>
      </c>
      <c r="M1" s="2" t="s">
        <v>130</v>
      </c>
      <c r="N1" s="2" t="s">
        <v>143</v>
      </c>
      <c r="O1" s="2" t="s">
        <v>144</v>
      </c>
      <c r="P1" s="151" t="s">
        <v>518</v>
      </c>
    </row>
    <row r="2" spans="1:17">
      <c r="A2" t="s">
        <v>0</v>
      </c>
      <c r="B2" s="152">
        <v>24878151</v>
      </c>
      <c r="C2">
        <v>56.31233065</v>
      </c>
      <c r="D2">
        <v>38.130834649999997</v>
      </c>
      <c r="E2" t="s">
        <v>2</v>
      </c>
      <c r="F2" t="s">
        <v>128</v>
      </c>
      <c r="G2" t="s">
        <v>129</v>
      </c>
      <c r="H2">
        <v>34</v>
      </c>
      <c r="I2">
        <v>0</v>
      </c>
      <c r="J2" t="s">
        <v>30</v>
      </c>
      <c r="K2" t="s">
        <v>31</v>
      </c>
      <c r="M2" t="b">
        <v>0</v>
      </c>
      <c r="N2" t="s">
        <v>142</v>
      </c>
      <c r="O2">
        <v>4</v>
      </c>
      <c r="P2"/>
    </row>
    <row r="3" spans="1:17">
      <c r="A3" t="s">
        <v>0</v>
      </c>
      <c r="B3" s="152">
        <v>35447047</v>
      </c>
      <c r="C3">
        <v>56.310781050000003</v>
      </c>
      <c r="D3">
        <v>38.1321941</v>
      </c>
      <c r="E3" t="s">
        <v>2</v>
      </c>
      <c r="F3" t="s">
        <v>128</v>
      </c>
      <c r="G3" t="s">
        <v>129</v>
      </c>
      <c r="H3">
        <v>29</v>
      </c>
      <c r="I3">
        <v>0</v>
      </c>
      <c r="J3" t="s">
        <v>30</v>
      </c>
      <c r="K3" t="s">
        <v>31</v>
      </c>
      <c r="M3" t="b">
        <v>0</v>
      </c>
      <c r="N3" t="s">
        <v>142</v>
      </c>
      <c r="O3">
        <v>4</v>
      </c>
      <c r="P3"/>
    </row>
    <row r="4" spans="1:17">
      <c r="A4" t="s">
        <v>0</v>
      </c>
      <c r="B4" s="152">
        <v>35447048</v>
      </c>
      <c r="C4">
        <v>56.309475599999999</v>
      </c>
      <c r="D4">
        <v>38.132473099999999</v>
      </c>
      <c r="E4" t="s">
        <v>32</v>
      </c>
      <c r="F4" t="s">
        <v>5</v>
      </c>
      <c r="G4" t="s">
        <v>28</v>
      </c>
      <c r="H4">
        <v>18</v>
      </c>
      <c r="I4">
        <v>30</v>
      </c>
      <c r="J4" t="s">
        <v>30</v>
      </c>
      <c r="K4" t="s">
        <v>31</v>
      </c>
      <c r="M4" t="b">
        <v>1</v>
      </c>
      <c r="N4" t="s">
        <v>145</v>
      </c>
      <c r="O4">
        <v>5</v>
      </c>
      <c r="P4">
        <v>3</v>
      </c>
      <c r="Q4" t="s">
        <v>537</v>
      </c>
    </row>
    <row r="5" spans="1:17">
      <c r="A5" t="s">
        <v>0</v>
      </c>
      <c r="B5" s="152">
        <v>35447050</v>
      </c>
      <c r="C5">
        <v>56.311053049999998</v>
      </c>
      <c r="D5">
        <v>38.127852200000007</v>
      </c>
      <c r="E5" t="s">
        <v>33</v>
      </c>
      <c r="F5" t="s">
        <v>5</v>
      </c>
      <c r="G5" t="s">
        <v>28</v>
      </c>
      <c r="H5">
        <v>15</v>
      </c>
      <c r="I5">
        <v>23</v>
      </c>
      <c r="J5" t="s">
        <v>30</v>
      </c>
      <c r="K5" t="s">
        <v>31</v>
      </c>
      <c r="M5" t="b">
        <v>0</v>
      </c>
      <c r="N5" t="s">
        <v>145</v>
      </c>
      <c r="O5">
        <v>4</v>
      </c>
      <c r="P5">
        <v>3</v>
      </c>
      <c r="Q5" t="s">
        <v>538</v>
      </c>
    </row>
    <row r="6" spans="1:17">
      <c r="A6" t="s">
        <v>0</v>
      </c>
      <c r="B6" s="152">
        <v>35447051</v>
      </c>
      <c r="C6">
        <v>56.312658849999998</v>
      </c>
      <c r="D6">
        <v>38.131960199999995</v>
      </c>
      <c r="E6" t="s">
        <v>34</v>
      </c>
      <c r="F6" t="s">
        <v>5</v>
      </c>
      <c r="G6" t="s">
        <v>28</v>
      </c>
      <c r="H6">
        <v>16</v>
      </c>
      <c r="I6">
        <v>47</v>
      </c>
      <c r="J6" t="s">
        <v>30</v>
      </c>
      <c r="K6" t="s">
        <v>31</v>
      </c>
      <c r="M6" t="b">
        <v>1</v>
      </c>
      <c r="N6" t="s">
        <v>145</v>
      </c>
      <c r="O6">
        <v>5</v>
      </c>
      <c r="P6">
        <v>3</v>
      </c>
      <c r="Q6" t="s">
        <v>538</v>
      </c>
    </row>
    <row r="7" spans="1:17">
      <c r="A7" t="s">
        <v>0</v>
      </c>
      <c r="B7" s="152">
        <v>35546654</v>
      </c>
      <c r="C7">
        <v>56.308776699999996</v>
      </c>
      <c r="D7">
        <v>38.129386050000001</v>
      </c>
      <c r="E7" t="s">
        <v>35</v>
      </c>
      <c r="F7" t="s">
        <v>5</v>
      </c>
      <c r="G7" t="s">
        <v>28</v>
      </c>
      <c r="H7">
        <v>13</v>
      </c>
      <c r="I7">
        <v>28</v>
      </c>
      <c r="J7" t="s">
        <v>30</v>
      </c>
      <c r="K7" t="s">
        <v>31</v>
      </c>
      <c r="M7" t="b">
        <v>1</v>
      </c>
      <c r="N7" t="s">
        <v>145</v>
      </c>
      <c r="O7">
        <v>5</v>
      </c>
      <c r="P7">
        <v>3</v>
      </c>
      <c r="Q7" t="s">
        <v>539</v>
      </c>
    </row>
    <row r="8" spans="1:17">
      <c r="A8" t="s">
        <v>0</v>
      </c>
      <c r="B8" s="152">
        <v>35551876</v>
      </c>
      <c r="C8">
        <v>56.312047000000007</v>
      </c>
      <c r="D8">
        <v>38.129711799999995</v>
      </c>
      <c r="E8" t="s">
        <v>36</v>
      </c>
      <c r="F8" t="s">
        <v>5</v>
      </c>
      <c r="G8" t="s">
        <v>28</v>
      </c>
      <c r="H8">
        <v>11</v>
      </c>
      <c r="I8">
        <v>20</v>
      </c>
      <c r="J8" t="s">
        <v>30</v>
      </c>
      <c r="K8" t="s">
        <v>31</v>
      </c>
      <c r="M8" t="b">
        <v>0</v>
      </c>
      <c r="N8" t="s">
        <v>145</v>
      </c>
      <c r="O8">
        <v>4</v>
      </c>
      <c r="P8">
        <v>3</v>
      </c>
      <c r="Q8" t="s">
        <v>540</v>
      </c>
    </row>
    <row r="9" spans="1:17">
      <c r="A9" t="s">
        <v>0</v>
      </c>
      <c r="B9" s="152">
        <v>35551877</v>
      </c>
      <c r="C9">
        <v>56.310402350000004</v>
      </c>
      <c r="D9">
        <v>38.128390150000001</v>
      </c>
      <c r="E9" t="s">
        <v>2</v>
      </c>
      <c r="F9" t="s">
        <v>128</v>
      </c>
      <c r="G9" t="s">
        <v>129</v>
      </c>
      <c r="H9">
        <v>36</v>
      </c>
      <c r="I9">
        <v>0</v>
      </c>
      <c r="J9" t="s">
        <v>30</v>
      </c>
      <c r="K9" t="s">
        <v>31</v>
      </c>
      <c r="M9" t="b">
        <v>0</v>
      </c>
      <c r="N9" t="s">
        <v>142</v>
      </c>
      <c r="O9">
        <v>4</v>
      </c>
      <c r="P9"/>
    </row>
    <row r="10" spans="1:17">
      <c r="A10" t="s">
        <v>0</v>
      </c>
      <c r="B10" s="152">
        <v>35551878</v>
      </c>
      <c r="C10">
        <v>56.309207950000001</v>
      </c>
      <c r="D10">
        <v>38.130966099999995</v>
      </c>
      <c r="E10" t="s">
        <v>37</v>
      </c>
      <c r="F10" t="s">
        <v>5</v>
      </c>
      <c r="G10" t="s">
        <v>28</v>
      </c>
      <c r="H10">
        <v>10</v>
      </c>
      <c r="I10">
        <v>25</v>
      </c>
      <c r="J10" t="s">
        <v>30</v>
      </c>
      <c r="K10" t="s">
        <v>31</v>
      </c>
      <c r="M10" t="b">
        <v>0</v>
      </c>
      <c r="N10" t="s">
        <v>145</v>
      </c>
      <c r="O10">
        <v>5</v>
      </c>
      <c r="P10">
        <v>3</v>
      </c>
      <c r="Q10" t="s">
        <v>540</v>
      </c>
    </row>
    <row r="11" spans="1:17">
      <c r="A11" t="s">
        <v>0</v>
      </c>
      <c r="B11" s="152">
        <v>35551879</v>
      </c>
      <c r="C11">
        <v>56.309821599999999</v>
      </c>
      <c r="D11">
        <v>38.132312400000004</v>
      </c>
      <c r="E11" t="s">
        <v>2</v>
      </c>
      <c r="F11" t="s">
        <v>128</v>
      </c>
      <c r="G11" t="s">
        <v>129</v>
      </c>
      <c r="H11">
        <v>21</v>
      </c>
      <c r="I11">
        <v>0</v>
      </c>
      <c r="J11" t="s">
        <v>30</v>
      </c>
      <c r="K11" t="s">
        <v>31</v>
      </c>
      <c r="M11" t="b">
        <v>0</v>
      </c>
      <c r="N11" t="s">
        <v>142</v>
      </c>
      <c r="O11">
        <v>4</v>
      </c>
      <c r="P11"/>
    </row>
    <row r="12" spans="1:17">
      <c r="A12" t="s">
        <v>0</v>
      </c>
      <c r="B12" s="152">
        <v>36128100</v>
      </c>
      <c r="C12">
        <v>56.3113277</v>
      </c>
      <c r="D12">
        <v>38.128546350000001</v>
      </c>
      <c r="E12" t="s">
        <v>38</v>
      </c>
      <c r="F12" t="s">
        <v>5</v>
      </c>
      <c r="G12" t="s">
        <v>28</v>
      </c>
      <c r="H12">
        <v>18</v>
      </c>
      <c r="I12">
        <v>26</v>
      </c>
      <c r="J12" t="s">
        <v>30</v>
      </c>
      <c r="K12" t="s">
        <v>31</v>
      </c>
      <c r="M12" t="b">
        <v>1</v>
      </c>
      <c r="N12" t="s">
        <v>145</v>
      </c>
      <c r="O12">
        <v>4</v>
      </c>
      <c r="P12">
        <v>3</v>
      </c>
      <c r="Q12" t="s">
        <v>537</v>
      </c>
    </row>
    <row r="13" spans="1:17">
      <c r="A13" t="s">
        <v>0</v>
      </c>
      <c r="B13" s="152">
        <v>36128101</v>
      </c>
      <c r="C13">
        <v>56.311679499999997</v>
      </c>
      <c r="D13">
        <v>38.129191349999999</v>
      </c>
      <c r="E13" t="s">
        <v>2</v>
      </c>
      <c r="F13" t="s">
        <v>128</v>
      </c>
      <c r="G13" t="s">
        <v>129</v>
      </c>
      <c r="H13">
        <v>22</v>
      </c>
      <c r="I13">
        <v>0</v>
      </c>
      <c r="J13" t="s">
        <v>30</v>
      </c>
      <c r="K13" t="s">
        <v>31</v>
      </c>
      <c r="M13" t="b">
        <v>0</v>
      </c>
      <c r="N13" t="s">
        <v>142</v>
      </c>
      <c r="O13">
        <v>4</v>
      </c>
      <c r="P13"/>
    </row>
    <row r="14" spans="1:17">
      <c r="A14" t="s">
        <v>0</v>
      </c>
      <c r="B14" s="152">
        <v>36128102</v>
      </c>
      <c r="C14">
        <v>56.31135845</v>
      </c>
      <c r="D14">
        <v>38.132111500000001</v>
      </c>
      <c r="E14" t="s">
        <v>39</v>
      </c>
      <c r="F14" t="s">
        <v>5</v>
      </c>
      <c r="G14" t="s">
        <v>28</v>
      </c>
      <c r="H14">
        <v>13</v>
      </c>
      <c r="I14">
        <v>25</v>
      </c>
      <c r="J14" t="s">
        <v>30</v>
      </c>
      <c r="K14" t="s">
        <v>31</v>
      </c>
      <c r="M14" t="b">
        <v>0</v>
      </c>
      <c r="N14" t="s">
        <v>145</v>
      </c>
      <c r="O14">
        <v>5</v>
      </c>
      <c r="P14">
        <v>3</v>
      </c>
      <c r="Q14" t="s">
        <v>541</v>
      </c>
    </row>
    <row r="15" spans="1:17">
      <c r="A15" t="s">
        <v>0</v>
      </c>
      <c r="B15" s="152">
        <v>36129618</v>
      </c>
      <c r="C15">
        <v>56.309404700000002</v>
      </c>
      <c r="D15">
        <v>38.128718599999999</v>
      </c>
      <c r="E15" t="s">
        <v>40</v>
      </c>
      <c r="F15" t="s">
        <v>5</v>
      </c>
      <c r="G15" t="s">
        <v>28</v>
      </c>
      <c r="H15">
        <v>18</v>
      </c>
      <c r="I15">
        <v>30</v>
      </c>
      <c r="J15" t="s">
        <v>30</v>
      </c>
      <c r="K15" t="s">
        <v>31</v>
      </c>
      <c r="M15" t="b">
        <v>0</v>
      </c>
      <c r="N15" t="s">
        <v>145</v>
      </c>
      <c r="O15">
        <v>5</v>
      </c>
      <c r="P15">
        <v>3</v>
      </c>
      <c r="Q15" t="s">
        <v>542</v>
      </c>
    </row>
    <row r="16" spans="1:17">
      <c r="A16" t="s">
        <v>0</v>
      </c>
      <c r="B16" s="152">
        <v>36129619</v>
      </c>
      <c r="C16">
        <v>56.309100649999998</v>
      </c>
      <c r="D16">
        <v>38.129129949999999</v>
      </c>
      <c r="E16" t="s">
        <v>2</v>
      </c>
      <c r="F16" t="s">
        <v>128</v>
      </c>
      <c r="G16" t="s">
        <v>129</v>
      </c>
      <c r="H16">
        <v>25</v>
      </c>
      <c r="I16">
        <v>0</v>
      </c>
      <c r="J16" t="s">
        <v>30</v>
      </c>
      <c r="K16" t="s">
        <v>31</v>
      </c>
      <c r="M16" t="b">
        <v>0</v>
      </c>
      <c r="N16" t="s">
        <v>142</v>
      </c>
      <c r="O16">
        <v>4</v>
      </c>
      <c r="P16"/>
    </row>
    <row r="17" spans="1:17">
      <c r="A17" t="s">
        <v>0</v>
      </c>
      <c r="B17" s="152">
        <v>36866037</v>
      </c>
      <c r="C17">
        <v>56.310506849999996</v>
      </c>
      <c r="D17">
        <v>38.129574300000002</v>
      </c>
      <c r="E17" t="s">
        <v>41</v>
      </c>
      <c r="F17" t="s">
        <v>21</v>
      </c>
      <c r="G17" t="s">
        <v>26</v>
      </c>
      <c r="H17">
        <v>29</v>
      </c>
      <c r="I17">
        <v>86</v>
      </c>
      <c r="J17" t="s">
        <v>30</v>
      </c>
      <c r="K17" t="s">
        <v>31</v>
      </c>
      <c r="L17" t="s">
        <v>151</v>
      </c>
      <c r="M17" t="b">
        <v>1</v>
      </c>
      <c r="N17" t="s">
        <v>145</v>
      </c>
      <c r="O17">
        <v>5</v>
      </c>
      <c r="P17">
        <v>4</v>
      </c>
      <c r="Q17" t="s">
        <v>543</v>
      </c>
    </row>
    <row r="18" spans="1:17">
      <c r="A18" t="s">
        <v>0</v>
      </c>
      <c r="B18" s="152">
        <v>36888077</v>
      </c>
      <c r="C18">
        <v>56.310823249999999</v>
      </c>
      <c r="D18">
        <v>38.12909295</v>
      </c>
      <c r="E18" s="152" t="s">
        <v>43</v>
      </c>
      <c r="F18" t="s">
        <v>4</v>
      </c>
      <c r="G18" t="s">
        <v>19</v>
      </c>
      <c r="H18">
        <v>17</v>
      </c>
      <c r="I18">
        <v>24</v>
      </c>
      <c r="J18" t="s">
        <v>466</v>
      </c>
      <c r="K18" t="s">
        <v>31</v>
      </c>
      <c r="L18" t="s">
        <v>151</v>
      </c>
      <c r="M18" t="b">
        <v>0</v>
      </c>
      <c r="P18"/>
    </row>
    <row r="19" spans="1:17">
      <c r="A19" t="s">
        <v>0</v>
      </c>
      <c r="B19" s="152">
        <v>40314758</v>
      </c>
      <c r="C19">
        <v>56.0148297</v>
      </c>
      <c r="D19">
        <v>38.380942449999999</v>
      </c>
      <c r="E19" s="152" t="s">
        <v>45</v>
      </c>
      <c r="F19" t="s">
        <v>4</v>
      </c>
      <c r="G19" t="s">
        <v>20</v>
      </c>
      <c r="H19">
        <v>9</v>
      </c>
      <c r="I19">
        <v>0</v>
      </c>
      <c r="K19" t="s">
        <v>29</v>
      </c>
      <c r="L19" t="s">
        <v>160</v>
      </c>
      <c r="M19" t="b">
        <v>0</v>
      </c>
      <c r="P19"/>
    </row>
    <row r="20" spans="1:17">
      <c r="A20" t="s">
        <v>0</v>
      </c>
      <c r="B20" s="152">
        <v>40483633</v>
      </c>
      <c r="C20">
        <v>56.027142449999999</v>
      </c>
      <c r="D20">
        <v>38.292218550000001</v>
      </c>
      <c r="E20" s="152" t="s">
        <v>46</v>
      </c>
      <c r="F20" t="s">
        <v>4</v>
      </c>
      <c r="G20" t="s">
        <v>19</v>
      </c>
      <c r="H20">
        <v>25</v>
      </c>
      <c r="I20">
        <v>0</v>
      </c>
      <c r="J20" t="s">
        <v>131</v>
      </c>
      <c r="K20" t="s">
        <v>132</v>
      </c>
      <c r="L20" t="s">
        <v>161</v>
      </c>
      <c r="M20" t="b">
        <v>0</v>
      </c>
      <c r="P20"/>
    </row>
    <row r="21" spans="1:17">
      <c r="A21" t="s">
        <v>0</v>
      </c>
      <c r="B21" s="152">
        <v>41279806</v>
      </c>
      <c r="C21">
        <v>56.002708499999997</v>
      </c>
      <c r="D21">
        <v>38.368645650000005</v>
      </c>
      <c r="E21" s="152" t="s">
        <v>47</v>
      </c>
      <c r="F21" t="s">
        <v>11</v>
      </c>
      <c r="G21" t="s">
        <v>20</v>
      </c>
      <c r="H21">
        <v>3</v>
      </c>
      <c r="I21">
        <v>0</v>
      </c>
      <c r="J21" t="s">
        <v>341</v>
      </c>
      <c r="K21" t="s">
        <v>132</v>
      </c>
      <c r="L21" t="s">
        <v>160</v>
      </c>
      <c r="M21" t="b">
        <v>0</v>
      </c>
      <c r="P21"/>
    </row>
    <row r="22" spans="1:17">
      <c r="A22" t="s">
        <v>0</v>
      </c>
      <c r="B22" s="152">
        <v>45507948</v>
      </c>
      <c r="C22">
        <v>56.335296799999995</v>
      </c>
      <c r="D22">
        <v>38.132106550000003</v>
      </c>
      <c r="E22" s="152" t="s">
        <v>48</v>
      </c>
      <c r="F22" t="s">
        <v>4</v>
      </c>
      <c r="G22" t="s">
        <v>19</v>
      </c>
      <c r="H22">
        <v>20</v>
      </c>
      <c r="I22">
        <v>0</v>
      </c>
      <c r="K22" t="s">
        <v>29</v>
      </c>
      <c r="L22" t="s">
        <v>160</v>
      </c>
      <c r="M22" t="b">
        <v>0</v>
      </c>
      <c r="P22"/>
    </row>
    <row r="23" spans="1:17">
      <c r="A23" t="s">
        <v>0</v>
      </c>
      <c r="B23" s="152">
        <v>70698975</v>
      </c>
      <c r="C23">
        <v>56.415980699999999</v>
      </c>
      <c r="D23">
        <v>38.426198999999997</v>
      </c>
      <c r="E23" s="152" t="s">
        <v>551</v>
      </c>
      <c r="F23" t="s">
        <v>4</v>
      </c>
      <c r="G23" t="s">
        <v>567</v>
      </c>
      <c r="H23">
        <v>11</v>
      </c>
      <c r="I23">
        <v>0</v>
      </c>
      <c r="J23" t="s">
        <v>131</v>
      </c>
      <c r="K23" t="s">
        <v>132</v>
      </c>
      <c r="L23" t="s">
        <v>159</v>
      </c>
      <c r="M23" t="b">
        <v>0</v>
      </c>
      <c r="P23"/>
    </row>
    <row r="24" spans="1:17">
      <c r="A24" t="s">
        <v>0</v>
      </c>
      <c r="B24" s="152">
        <v>85523961</v>
      </c>
      <c r="C24">
        <v>56.740460400000003</v>
      </c>
      <c r="D24">
        <v>38.856723199999998</v>
      </c>
      <c r="E24" s="152" t="s">
        <v>50</v>
      </c>
      <c r="F24" t="s">
        <v>3</v>
      </c>
      <c r="G24" t="s">
        <v>19</v>
      </c>
      <c r="H24">
        <v>19</v>
      </c>
      <c r="I24">
        <v>0</v>
      </c>
      <c r="J24" t="s">
        <v>153</v>
      </c>
      <c r="K24" t="s">
        <v>31</v>
      </c>
      <c r="L24" t="s">
        <v>159</v>
      </c>
      <c r="M24" t="b">
        <v>0</v>
      </c>
      <c r="P24"/>
    </row>
    <row r="25" spans="1:17">
      <c r="A25" t="s">
        <v>0</v>
      </c>
      <c r="B25" s="152">
        <v>86022833</v>
      </c>
      <c r="C25">
        <v>56.736718749999994</v>
      </c>
      <c r="D25">
        <v>38.852046000000001</v>
      </c>
      <c r="E25" s="152" t="s">
        <v>51</v>
      </c>
      <c r="F25" t="s">
        <v>4</v>
      </c>
      <c r="G25" t="s">
        <v>19</v>
      </c>
      <c r="H25">
        <v>17</v>
      </c>
      <c r="I25">
        <v>31.54</v>
      </c>
      <c r="J25" t="s">
        <v>30</v>
      </c>
      <c r="K25" t="s">
        <v>31</v>
      </c>
      <c r="L25" t="s">
        <v>572</v>
      </c>
      <c r="M25" t="b">
        <v>1</v>
      </c>
      <c r="P25"/>
    </row>
    <row r="26" spans="1:17">
      <c r="A26" t="s">
        <v>0</v>
      </c>
      <c r="B26" s="152">
        <v>86056118</v>
      </c>
      <c r="C26">
        <v>56.735341149999996</v>
      </c>
      <c r="D26">
        <v>38.851963600000005</v>
      </c>
      <c r="E26" s="152" t="s">
        <v>52</v>
      </c>
      <c r="F26" t="s">
        <v>3</v>
      </c>
      <c r="G26" t="s">
        <v>19</v>
      </c>
      <c r="H26">
        <v>30</v>
      </c>
      <c r="I26">
        <v>0</v>
      </c>
      <c r="J26" t="s">
        <v>153</v>
      </c>
      <c r="K26" t="s">
        <v>31</v>
      </c>
      <c r="L26" t="s">
        <v>159</v>
      </c>
      <c r="M26" t="b">
        <v>0</v>
      </c>
      <c r="P26"/>
    </row>
    <row r="27" spans="1:17">
      <c r="A27" t="s">
        <v>0</v>
      </c>
      <c r="B27" s="152">
        <v>86056119</v>
      </c>
      <c r="C27">
        <v>56.735481699999994</v>
      </c>
      <c r="D27">
        <v>38.851366249999998</v>
      </c>
      <c r="E27" s="152" t="s">
        <v>53</v>
      </c>
      <c r="F27" t="s">
        <v>3</v>
      </c>
      <c r="G27" t="s">
        <v>19</v>
      </c>
      <c r="H27">
        <v>16</v>
      </c>
      <c r="I27">
        <v>0</v>
      </c>
      <c r="J27" t="s">
        <v>30</v>
      </c>
      <c r="K27" t="s">
        <v>31</v>
      </c>
      <c r="L27" t="s">
        <v>158</v>
      </c>
      <c r="M27" t="b">
        <v>0</v>
      </c>
      <c r="N27" t="s">
        <v>145</v>
      </c>
      <c r="O27">
        <v>4</v>
      </c>
      <c r="P27">
        <v>4</v>
      </c>
      <c r="Q27" t="s">
        <v>544</v>
      </c>
    </row>
    <row r="28" spans="1:17">
      <c r="A28" t="s">
        <v>0</v>
      </c>
      <c r="B28" s="152">
        <v>86056120</v>
      </c>
      <c r="C28">
        <v>56.7356044</v>
      </c>
      <c r="D28">
        <v>38.852473400000001</v>
      </c>
      <c r="E28" s="152" t="s">
        <v>54</v>
      </c>
      <c r="F28" t="s">
        <v>4</v>
      </c>
      <c r="G28" t="s">
        <v>19</v>
      </c>
      <c r="H28">
        <v>21</v>
      </c>
      <c r="I28">
        <v>0</v>
      </c>
      <c r="J28" t="s">
        <v>153</v>
      </c>
      <c r="K28" t="s">
        <v>31</v>
      </c>
      <c r="L28" t="s">
        <v>159</v>
      </c>
      <c r="M28" t="b">
        <v>0</v>
      </c>
      <c r="P28"/>
    </row>
    <row r="29" spans="1:17">
      <c r="A29" t="s">
        <v>0</v>
      </c>
      <c r="B29" s="152">
        <v>86537254</v>
      </c>
      <c r="C29">
        <v>56.738338050000003</v>
      </c>
      <c r="D29">
        <v>38.848939000000001</v>
      </c>
      <c r="E29" s="152" t="s">
        <v>55</v>
      </c>
      <c r="F29" t="s">
        <v>3</v>
      </c>
      <c r="G29" t="s">
        <v>19</v>
      </c>
      <c r="H29">
        <v>18</v>
      </c>
      <c r="I29">
        <v>0</v>
      </c>
      <c r="J29" t="s">
        <v>131</v>
      </c>
      <c r="K29" t="s">
        <v>31</v>
      </c>
      <c r="L29" t="s">
        <v>159</v>
      </c>
      <c r="M29" t="b">
        <v>0</v>
      </c>
      <c r="P29"/>
    </row>
    <row r="30" spans="1:17">
      <c r="A30" t="s">
        <v>0</v>
      </c>
      <c r="B30" s="152">
        <v>87567579</v>
      </c>
      <c r="C30">
        <v>56.73553175</v>
      </c>
      <c r="D30">
        <v>38.843623999999998</v>
      </c>
      <c r="E30" s="152" t="s">
        <v>56</v>
      </c>
      <c r="F30" t="s">
        <v>4</v>
      </c>
      <c r="G30" t="s">
        <v>17</v>
      </c>
      <c r="H30">
        <v>17</v>
      </c>
      <c r="I30">
        <v>0</v>
      </c>
      <c r="J30" t="s">
        <v>341</v>
      </c>
      <c r="K30" t="s">
        <v>31</v>
      </c>
      <c r="L30" t="s">
        <v>160</v>
      </c>
      <c r="M30" t="b">
        <v>0</v>
      </c>
      <c r="P30"/>
    </row>
    <row r="31" spans="1:17">
      <c r="A31" t="s">
        <v>0</v>
      </c>
      <c r="B31" s="152">
        <v>87567582</v>
      </c>
      <c r="C31">
        <v>56.731050199999999</v>
      </c>
      <c r="D31">
        <v>38.839956900000004</v>
      </c>
      <c r="E31" s="152" t="s">
        <v>57</v>
      </c>
      <c r="F31" t="s">
        <v>3</v>
      </c>
      <c r="G31" t="s">
        <v>19</v>
      </c>
      <c r="H31">
        <v>26</v>
      </c>
      <c r="I31">
        <v>0</v>
      </c>
      <c r="J31" t="s">
        <v>30</v>
      </c>
      <c r="K31" t="s">
        <v>31</v>
      </c>
      <c r="L31" t="s">
        <v>159</v>
      </c>
      <c r="M31" t="b">
        <v>0</v>
      </c>
      <c r="P31"/>
    </row>
    <row r="32" spans="1:17">
      <c r="A32" t="s">
        <v>0</v>
      </c>
      <c r="B32" s="152">
        <v>87803779</v>
      </c>
      <c r="C32">
        <v>56.753603599999998</v>
      </c>
      <c r="D32">
        <v>38.862842799999996</v>
      </c>
      <c r="E32" s="152" t="s">
        <v>58</v>
      </c>
      <c r="F32" t="s">
        <v>3</v>
      </c>
      <c r="G32" t="s">
        <v>20</v>
      </c>
      <c r="H32">
        <v>7</v>
      </c>
      <c r="I32">
        <v>0</v>
      </c>
      <c r="J32" t="s">
        <v>30</v>
      </c>
      <c r="K32" t="s">
        <v>31</v>
      </c>
      <c r="L32" t="s">
        <v>151</v>
      </c>
      <c r="M32" t="b">
        <v>0</v>
      </c>
      <c r="P32"/>
    </row>
    <row r="33" spans="1:17">
      <c r="A33" t="s">
        <v>0</v>
      </c>
      <c r="B33" s="152">
        <v>87827025</v>
      </c>
      <c r="C33">
        <v>56.73184225</v>
      </c>
      <c r="D33">
        <v>38.838057599999999</v>
      </c>
      <c r="E33" s="152" t="s">
        <v>525</v>
      </c>
      <c r="F33" t="s">
        <v>4</v>
      </c>
      <c r="G33" t="s">
        <v>19</v>
      </c>
      <c r="H33">
        <v>24</v>
      </c>
      <c r="I33">
        <v>0</v>
      </c>
      <c r="J33" t="s">
        <v>30</v>
      </c>
      <c r="K33" t="s">
        <v>31</v>
      </c>
      <c r="L33" t="s">
        <v>160</v>
      </c>
      <c r="M33" t="b">
        <v>0</v>
      </c>
      <c r="P33"/>
    </row>
    <row r="34" spans="1:17">
      <c r="A34" t="s">
        <v>0</v>
      </c>
      <c r="B34" s="152">
        <v>87827039</v>
      </c>
      <c r="C34">
        <v>56.732174749999999</v>
      </c>
      <c r="D34">
        <v>38.838829750000002</v>
      </c>
      <c r="E34" s="152" t="s">
        <v>526</v>
      </c>
      <c r="F34" t="s">
        <v>4</v>
      </c>
      <c r="G34" t="s">
        <v>19</v>
      </c>
      <c r="H34">
        <v>17</v>
      </c>
      <c r="I34">
        <v>0</v>
      </c>
      <c r="J34" t="s">
        <v>505</v>
      </c>
      <c r="K34" t="s">
        <v>31</v>
      </c>
      <c r="L34" t="s">
        <v>159</v>
      </c>
      <c r="M34" t="b">
        <v>0</v>
      </c>
      <c r="P34"/>
    </row>
    <row r="35" spans="1:17">
      <c r="A35" t="s">
        <v>0</v>
      </c>
      <c r="B35" s="152">
        <v>87885572</v>
      </c>
      <c r="C35">
        <v>56.721606950000002</v>
      </c>
      <c r="D35">
        <v>38.823809499999996</v>
      </c>
      <c r="E35" s="152" t="s">
        <v>513</v>
      </c>
      <c r="F35" t="s">
        <v>4</v>
      </c>
      <c r="G35" t="s">
        <v>19</v>
      </c>
      <c r="H35">
        <v>38</v>
      </c>
      <c r="I35">
        <v>0</v>
      </c>
      <c r="J35" t="s">
        <v>30</v>
      </c>
      <c r="K35" t="s">
        <v>31</v>
      </c>
      <c r="L35" t="s">
        <v>573</v>
      </c>
      <c r="M35" t="b">
        <v>0</v>
      </c>
      <c r="N35" t="s">
        <v>145</v>
      </c>
      <c r="O35">
        <v>4</v>
      </c>
      <c r="P35">
        <v>4</v>
      </c>
      <c r="Q35" t="s">
        <v>546</v>
      </c>
    </row>
    <row r="36" spans="1:17">
      <c r="A36" t="s">
        <v>0</v>
      </c>
      <c r="B36" s="152">
        <v>87885590</v>
      </c>
      <c r="C36">
        <v>56.721472000000006</v>
      </c>
      <c r="D36">
        <v>38.824805699999999</v>
      </c>
      <c r="E36" s="152" t="s">
        <v>125</v>
      </c>
      <c r="F36" t="s">
        <v>6</v>
      </c>
      <c r="G36" t="s">
        <v>19</v>
      </c>
      <c r="H36">
        <v>32</v>
      </c>
      <c r="I36">
        <v>0</v>
      </c>
      <c r="J36" t="s">
        <v>198</v>
      </c>
      <c r="K36" t="s">
        <v>31</v>
      </c>
      <c r="L36" t="s">
        <v>159</v>
      </c>
      <c r="M36" t="b">
        <v>0</v>
      </c>
      <c r="P36"/>
    </row>
    <row r="37" spans="1:17">
      <c r="A37" t="s">
        <v>0</v>
      </c>
      <c r="B37" s="152">
        <v>87965538</v>
      </c>
      <c r="C37">
        <v>56.7203746</v>
      </c>
      <c r="D37">
        <v>38.839097250000002</v>
      </c>
      <c r="E37" s="152" t="s">
        <v>102</v>
      </c>
      <c r="F37" t="s">
        <v>3</v>
      </c>
      <c r="G37" t="s">
        <v>19</v>
      </c>
      <c r="H37">
        <v>16</v>
      </c>
      <c r="I37">
        <v>0</v>
      </c>
      <c r="J37" t="s">
        <v>30</v>
      </c>
      <c r="K37" t="s">
        <v>31</v>
      </c>
      <c r="L37" t="s">
        <v>573</v>
      </c>
      <c r="M37" t="b">
        <v>0</v>
      </c>
      <c r="N37" t="s">
        <v>145</v>
      </c>
      <c r="O37">
        <v>4</v>
      </c>
      <c r="P37">
        <v>4</v>
      </c>
      <c r="Q37" t="s">
        <v>546</v>
      </c>
    </row>
    <row r="38" spans="1:17">
      <c r="A38" t="s">
        <v>0</v>
      </c>
      <c r="B38" s="152">
        <v>87965546</v>
      </c>
      <c r="C38">
        <v>56.720294699999997</v>
      </c>
      <c r="D38">
        <v>38.838521249999999</v>
      </c>
      <c r="E38" s="152" t="s">
        <v>59</v>
      </c>
      <c r="F38" t="s">
        <v>4</v>
      </c>
      <c r="G38" t="s">
        <v>19</v>
      </c>
      <c r="H38">
        <v>24</v>
      </c>
      <c r="I38">
        <v>0</v>
      </c>
      <c r="J38" t="s">
        <v>30</v>
      </c>
      <c r="K38" t="s">
        <v>31</v>
      </c>
      <c r="L38" t="s">
        <v>158</v>
      </c>
      <c r="M38" t="b">
        <v>0</v>
      </c>
      <c r="N38" t="s">
        <v>145</v>
      </c>
      <c r="O38">
        <v>4</v>
      </c>
      <c r="P38">
        <v>4</v>
      </c>
      <c r="Q38" t="s">
        <v>544</v>
      </c>
    </row>
    <row r="39" spans="1:17">
      <c r="A39" t="s">
        <v>0</v>
      </c>
      <c r="B39" s="152">
        <v>87965554</v>
      </c>
      <c r="C39">
        <v>56.719511349999998</v>
      </c>
      <c r="D39">
        <v>38.837806799999996</v>
      </c>
      <c r="E39" t="s">
        <v>60</v>
      </c>
      <c r="F39" t="s">
        <v>3</v>
      </c>
      <c r="G39" t="s">
        <v>19</v>
      </c>
      <c r="H39">
        <v>29</v>
      </c>
      <c r="I39">
        <v>0</v>
      </c>
      <c r="J39" t="s">
        <v>30</v>
      </c>
      <c r="K39" t="s">
        <v>31</v>
      </c>
      <c r="L39" t="s">
        <v>159</v>
      </c>
      <c r="M39" t="b">
        <v>0</v>
      </c>
      <c r="P39"/>
    </row>
    <row r="40" spans="1:17">
      <c r="A40" t="s">
        <v>0</v>
      </c>
      <c r="B40" s="152">
        <v>87965555</v>
      </c>
      <c r="C40">
        <v>56.719721499999999</v>
      </c>
      <c r="D40">
        <v>38.838601600000004</v>
      </c>
      <c r="E40" s="152" t="s">
        <v>155</v>
      </c>
      <c r="F40" t="s">
        <v>4</v>
      </c>
      <c r="G40" t="s">
        <v>19</v>
      </c>
      <c r="H40">
        <v>15</v>
      </c>
      <c r="I40">
        <v>0</v>
      </c>
      <c r="J40" t="s">
        <v>30</v>
      </c>
      <c r="K40" t="s">
        <v>31</v>
      </c>
      <c r="L40" t="s">
        <v>159</v>
      </c>
      <c r="M40" t="b">
        <v>0</v>
      </c>
      <c r="P40"/>
    </row>
    <row r="41" spans="1:17">
      <c r="A41" t="s">
        <v>0</v>
      </c>
      <c r="B41" s="152">
        <v>87984181</v>
      </c>
      <c r="C41">
        <v>56.71809245</v>
      </c>
      <c r="D41">
        <v>38.814337600000002</v>
      </c>
      <c r="E41" t="s">
        <v>579</v>
      </c>
      <c r="F41" t="s">
        <v>580</v>
      </c>
      <c r="H41">
        <v>13</v>
      </c>
      <c r="I41">
        <v>0</v>
      </c>
      <c r="M41" t="b">
        <v>0</v>
      </c>
      <c r="P41"/>
    </row>
    <row r="42" spans="1:17">
      <c r="A42" t="s">
        <v>0</v>
      </c>
      <c r="B42" s="152">
        <v>87993338</v>
      </c>
      <c r="C42">
        <v>56.760931550000002</v>
      </c>
      <c r="D42">
        <v>38.858793649999996</v>
      </c>
      <c r="E42" s="152" t="s">
        <v>514</v>
      </c>
      <c r="F42" t="s">
        <v>4</v>
      </c>
      <c r="G42" t="s">
        <v>19</v>
      </c>
      <c r="H42">
        <v>34</v>
      </c>
      <c r="I42">
        <v>0</v>
      </c>
      <c r="J42" t="s">
        <v>30</v>
      </c>
      <c r="K42" t="s">
        <v>31</v>
      </c>
      <c r="L42" t="s">
        <v>573</v>
      </c>
      <c r="M42" t="b">
        <v>0</v>
      </c>
      <c r="N42" t="s">
        <v>145</v>
      </c>
      <c r="O42">
        <v>4</v>
      </c>
      <c r="P42">
        <v>4</v>
      </c>
      <c r="Q42" t="s">
        <v>546</v>
      </c>
    </row>
    <row r="43" spans="1:17">
      <c r="A43" t="s">
        <v>0</v>
      </c>
      <c r="B43" s="152">
        <v>87993354</v>
      </c>
      <c r="C43">
        <v>56.761288699999994</v>
      </c>
      <c r="D43">
        <v>38.858918000000003</v>
      </c>
      <c r="E43" s="152" t="s">
        <v>515</v>
      </c>
      <c r="F43" t="s">
        <v>4</v>
      </c>
      <c r="G43" t="s">
        <v>19</v>
      </c>
      <c r="H43">
        <v>24</v>
      </c>
      <c r="I43">
        <v>0</v>
      </c>
      <c r="J43" t="s">
        <v>30</v>
      </c>
      <c r="K43" t="s">
        <v>31</v>
      </c>
      <c r="L43" t="s">
        <v>158</v>
      </c>
      <c r="M43" t="b">
        <v>0</v>
      </c>
      <c r="N43" t="s">
        <v>145</v>
      </c>
      <c r="O43">
        <v>4</v>
      </c>
      <c r="P43">
        <v>4</v>
      </c>
      <c r="Q43" t="s">
        <v>544</v>
      </c>
    </row>
    <row r="44" spans="1:17">
      <c r="A44" t="s">
        <v>0</v>
      </c>
      <c r="B44" s="152">
        <v>87993398</v>
      </c>
      <c r="C44">
        <v>56.760964549999997</v>
      </c>
      <c r="D44">
        <v>38.859620499999998</v>
      </c>
      <c r="E44" s="152" t="s">
        <v>516</v>
      </c>
      <c r="F44" t="s">
        <v>12</v>
      </c>
      <c r="G44" t="s">
        <v>27</v>
      </c>
      <c r="H44">
        <v>10</v>
      </c>
      <c r="I44">
        <v>0</v>
      </c>
      <c r="J44" t="s">
        <v>552</v>
      </c>
      <c r="K44" t="s">
        <v>31</v>
      </c>
      <c r="L44" t="s">
        <v>149</v>
      </c>
      <c r="M44" t="b">
        <v>0</v>
      </c>
      <c r="P44"/>
    </row>
    <row r="45" spans="1:17">
      <c r="A45" t="s">
        <v>0</v>
      </c>
      <c r="B45" s="152">
        <v>87993431</v>
      </c>
      <c r="C45">
        <v>56.761202499999996</v>
      </c>
      <c r="D45">
        <v>38.858573100000001</v>
      </c>
      <c r="E45" s="152" t="s">
        <v>156</v>
      </c>
      <c r="F45" t="s">
        <v>3</v>
      </c>
      <c r="G45" t="s">
        <v>20</v>
      </c>
      <c r="H45">
        <v>7</v>
      </c>
      <c r="I45">
        <v>0</v>
      </c>
      <c r="J45" t="s">
        <v>30</v>
      </c>
      <c r="K45" t="s">
        <v>31</v>
      </c>
      <c r="L45" t="s">
        <v>159</v>
      </c>
      <c r="M45" t="b">
        <v>0</v>
      </c>
      <c r="P45"/>
    </row>
    <row r="46" spans="1:17">
      <c r="A46" t="s">
        <v>0</v>
      </c>
      <c r="B46" s="152">
        <v>89480196</v>
      </c>
      <c r="C46">
        <v>56.721148249999999</v>
      </c>
      <c r="D46">
        <v>38.823320150000001</v>
      </c>
      <c r="E46" s="152" t="s">
        <v>517</v>
      </c>
      <c r="F46" t="s">
        <v>11</v>
      </c>
      <c r="G46" t="s">
        <v>18</v>
      </c>
      <c r="H46">
        <v>5</v>
      </c>
      <c r="I46">
        <v>0</v>
      </c>
      <c r="J46" t="s">
        <v>259</v>
      </c>
      <c r="K46" t="s">
        <v>29</v>
      </c>
      <c r="L46" t="s">
        <v>162</v>
      </c>
      <c r="M46" t="b">
        <v>0</v>
      </c>
      <c r="P46"/>
    </row>
    <row r="47" spans="1:17">
      <c r="A47" t="s">
        <v>0</v>
      </c>
      <c r="B47" s="152">
        <v>101310768</v>
      </c>
      <c r="C47">
        <v>56.172258900000003</v>
      </c>
      <c r="D47">
        <v>38.885283999999999</v>
      </c>
      <c r="E47" s="152" t="s">
        <v>49</v>
      </c>
      <c r="F47" t="s">
        <v>4</v>
      </c>
      <c r="G47" t="s">
        <v>19</v>
      </c>
      <c r="H47">
        <v>21</v>
      </c>
      <c r="I47">
        <v>0</v>
      </c>
      <c r="J47" t="s">
        <v>30</v>
      </c>
      <c r="K47" t="s">
        <v>31</v>
      </c>
      <c r="L47" t="s">
        <v>162</v>
      </c>
      <c r="M47" t="b">
        <v>0</v>
      </c>
      <c r="P47"/>
    </row>
    <row r="48" spans="1:17">
      <c r="A48" t="s">
        <v>0</v>
      </c>
      <c r="B48" s="152">
        <v>110388380</v>
      </c>
      <c r="C48">
        <v>56.196207650000005</v>
      </c>
      <c r="D48">
        <v>38.055493949999999</v>
      </c>
      <c r="E48" s="152" t="s">
        <v>61</v>
      </c>
      <c r="F48" t="s">
        <v>4</v>
      </c>
      <c r="G48" t="s">
        <v>19</v>
      </c>
      <c r="H48">
        <v>20</v>
      </c>
      <c r="I48">
        <v>0</v>
      </c>
      <c r="J48" t="s">
        <v>322</v>
      </c>
      <c r="K48" t="s">
        <v>31</v>
      </c>
      <c r="L48" t="s">
        <v>162</v>
      </c>
      <c r="M48" t="b">
        <v>0</v>
      </c>
      <c r="P48"/>
    </row>
    <row r="49" spans="1:16">
      <c r="A49" t="s">
        <v>0</v>
      </c>
      <c r="B49" s="152">
        <v>110660379</v>
      </c>
      <c r="C49">
        <v>56.720459550000001</v>
      </c>
      <c r="D49">
        <v>38.831167399999998</v>
      </c>
      <c r="E49" s="152" t="s">
        <v>76</v>
      </c>
      <c r="F49" t="s">
        <v>4</v>
      </c>
      <c r="G49" t="s">
        <v>19</v>
      </c>
      <c r="H49">
        <v>18</v>
      </c>
      <c r="I49">
        <v>0</v>
      </c>
      <c r="J49" t="s">
        <v>30</v>
      </c>
      <c r="K49" t="s">
        <v>31</v>
      </c>
      <c r="L49" t="s">
        <v>149</v>
      </c>
      <c r="M49" t="b">
        <v>0</v>
      </c>
      <c r="P49"/>
    </row>
    <row r="50" spans="1:16">
      <c r="A50" t="s">
        <v>0</v>
      </c>
      <c r="B50" s="152">
        <v>118842295</v>
      </c>
      <c r="C50">
        <v>56.315595399999999</v>
      </c>
      <c r="D50">
        <v>38.131023849999998</v>
      </c>
      <c r="E50" t="s">
        <v>2</v>
      </c>
      <c r="F50" t="s">
        <v>583</v>
      </c>
      <c r="G50" t="s">
        <v>584</v>
      </c>
      <c r="H50">
        <v>63</v>
      </c>
      <c r="I50">
        <v>0</v>
      </c>
      <c r="M50" t="b">
        <v>0</v>
      </c>
      <c r="N50" t="s">
        <v>142</v>
      </c>
      <c r="O50">
        <v>4</v>
      </c>
      <c r="P50"/>
    </row>
    <row r="51" spans="1:16">
      <c r="A51" t="s">
        <v>0</v>
      </c>
      <c r="B51" s="152">
        <v>121794867</v>
      </c>
      <c r="C51">
        <v>56.101365299999998</v>
      </c>
      <c r="D51">
        <v>38.123477100000002</v>
      </c>
      <c r="E51" s="152" t="s">
        <v>62</v>
      </c>
      <c r="F51" t="s">
        <v>4</v>
      </c>
      <c r="G51" t="s">
        <v>19</v>
      </c>
      <c r="H51">
        <v>14</v>
      </c>
      <c r="I51">
        <v>0</v>
      </c>
      <c r="J51" t="s">
        <v>195</v>
      </c>
      <c r="K51" t="s">
        <v>29</v>
      </c>
      <c r="L51" t="s">
        <v>160</v>
      </c>
      <c r="M51" t="b">
        <v>0</v>
      </c>
      <c r="P51"/>
    </row>
    <row r="52" spans="1:16">
      <c r="A52" t="s">
        <v>0</v>
      </c>
      <c r="B52" s="152">
        <v>122362085</v>
      </c>
      <c r="C52">
        <v>56.086845100000005</v>
      </c>
      <c r="D52">
        <v>38.227323999999996</v>
      </c>
      <c r="E52" s="152" t="s">
        <v>63</v>
      </c>
      <c r="F52" t="s">
        <v>4</v>
      </c>
      <c r="G52" t="s">
        <v>19</v>
      </c>
      <c r="H52">
        <v>18</v>
      </c>
      <c r="I52">
        <v>0</v>
      </c>
      <c r="J52" t="s">
        <v>30</v>
      </c>
      <c r="K52" t="s">
        <v>31</v>
      </c>
      <c r="L52" t="s">
        <v>162</v>
      </c>
      <c r="M52" t="b">
        <v>0</v>
      </c>
      <c r="P52"/>
    </row>
    <row r="53" spans="1:16">
      <c r="A53" t="s">
        <v>0</v>
      </c>
      <c r="B53" s="152">
        <v>123307398</v>
      </c>
      <c r="C53">
        <v>56.0853362</v>
      </c>
      <c r="D53">
        <v>38.089517499999999</v>
      </c>
      <c r="E53" s="152" t="s">
        <v>49</v>
      </c>
      <c r="F53" t="s">
        <v>4</v>
      </c>
      <c r="G53" t="s">
        <v>19</v>
      </c>
      <c r="H53">
        <v>33</v>
      </c>
      <c r="I53">
        <v>0</v>
      </c>
      <c r="J53" t="s">
        <v>131</v>
      </c>
      <c r="K53" t="s">
        <v>31</v>
      </c>
      <c r="L53" t="s">
        <v>554</v>
      </c>
      <c r="M53" t="b">
        <v>0</v>
      </c>
      <c r="P53"/>
    </row>
    <row r="54" spans="1:16">
      <c r="A54" t="s">
        <v>0</v>
      </c>
      <c r="B54" s="152">
        <v>128393961</v>
      </c>
      <c r="C54">
        <v>56.134330400000003</v>
      </c>
      <c r="D54">
        <v>38.444560150000001</v>
      </c>
      <c r="E54" s="152" t="s">
        <v>64</v>
      </c>
      <c r="F54" t="s">
        <v>4</v>
      </c>
      <c r="G54" t="s">
        <v>19</v>
      </c>
      <c r="H54">
        <v>27</v>
      </c>
      <c r="I54">
        <v>0</v>
      </c>
      <c r="J54" t="s">
        <v>30</v>
      </c>
      <c r="K54" t="s">
        <v>31</v>
      </c>
      <c r="L54" t="s">
        <v>149</v>
      </c>
      <c r="M54" t="b">
        <v>0</v>
      </c>
      <c r="P54"/>
    </row>
    <row r="55" spans="1:16">
      <c r="A55" t="s">
        <v>0</v>
      </c>
      <c r="B55" s="152">
        <v>129197292</v>
      </c>
      <c r="C55">
        <v>56.002400899999998</v>
      </c>
      <c r="D55">
        <v>38.159527749999995</v>
      </c>
      <c r="E55" s="152" t="s">
        <v>49</v>
      </c>
      <c r="F55" t="s">
        <v>4</v>
      </c>
      <c r="G55" t="s">
        <v>19</v>
      </c>
      <c r="H55">
        <v>23</v>
      </c>
      <c r="I55">
        <v>0</v>
      </c>
      <c r="J55" t="s">
        <v>322</v>
      </c>
      <c r="K55" t="s">
        <v>31</v>
      </c>
      <c r="L55" t="s">
        <v>149</v>
      </c>
      <c r="M55" t="b">
        <v>0</v>
      </c>
      <c r="P55"/>
    </row>
    <row r="56" spans="1:16">
      <c r="A56" t="s">
        <v>0</v>
      </c>
      <c r="B56" s="152">
        <v>139956654</v>
      </c>
      <c r="C56">
        <v>56.719869799999998</v>
      </c>
      <c r="D56">
        <v>38.838248350000001</v>
      </c>
      <c r="E56" t="s">
        <v>157</v>
      </c>
      <c r="F56" t="s">
        <v>3</v>
      </c>
      <c r="G56" t="s">
        <v>19</v>
      </c>
      <c r="H56">
        <v>34</v>
      </c>
      <c r="I56">
        <v>0</v>
      </c>
      <c r="L56" t="s">
        <v>159</v>
      </c>
      <c r="M56" t="b">
        <v>0</v>
      </c>
      <c r="P56"/>
    </row>
    <row r="57" spans="1:16">
      <c r="A57" t="s">
        <v>0</v>
      </c>
      <c r="B57" s="152">
        <v>162380972</v>
      </c>
      <c r="C57">
        <v>56.150829700000003</v>
      </c>
      <c r="D57">
        <v>38.846517399999996</v>
      </c>
      <c r="E57" t="s">
        <v>2</v>
      </c>
      <c r="F57" t="s">
        <v>580</v>
      </c>
      <c r="H57">
        <v>8</v>
      </c>
      <c r="I57">
        <v>0</v>
      </c>
      <c r="M57" t="b">
        <v>0</v>
      </c>
      <c r="P57"/>
    </row>
    <row r="58" spans="1:16">
      <c r="A58" t="s">
        <v>0</v>
      </c>
      <c r="B58" s="152">
        <v>167288787</v>
      </c>
      <c r="C58">
        <v>56.832362549999999</v>
      </c>
      <c r="D58">
        <v>38.728457349999999</v>
      </c>
      <c r="E58" s="152" t="s">
        <v>553</v>
      </c>
      <c r="F58" t="s">
        <v>11</v>
      </c>
      <c r="G58" t="s">
        <v>20</v>
      </c>
      <c r="H58">
        <v>5</v>
      </c>
      <c r="I58">
        <v>0</v>
      </c>
      <c r="K58" t="s">
        <v>29</v>
      </c>
      <c r="L58" t="s">
        <v>160</v>
      </c>
      <c r="M58" t="b">
        <v>0</v>
      </c>
      <c r="P58"/>
    </row>
    <row r="59" spans="1:16">
      <c r="A59" t="s">
        <v>0</v>
      </c>
      <c r="B59" s="152">
        <v>167288881</v>
      </c>
      <c r="C59">
        <v>56.840357999999995</v>
      </c>
      <c r="D59">
        <v>38.716652100000005</v>
      </c>
      <c r="E59" s="152" t="s">
        <v>66</v>
      </c>
      <c r="F59" t="s">
        <v>3</v>
      </c>
      <c r="G59" t="s">
        <v>19</v>
      </c>
      <c r="H59">
        <v>20</v>
      </c>
      <c r="I59">
        <v>0</v>
      </c>
      <c r="J59" t="s">
        <v>30</v>
      </c>
      <c r="K59" t="s">
        <v>31</v>
      </c>
      <c r="L59" t="s">
        <v>162</v>
      </c>
      <c r="M59" t="b">
        <v>0</v>
      </c>
      <c r="P59"/>
    </row>
    <row r="60" spans="1:16">
      <c r="A60" t="s">
        <v>0</v>
      </c>
      <c r="B60" s="152">
        <v>167290560</v>
      </c>
      <c r="C60">
        <v>56.7255605</v>
      </c>
      <c r="D60">
        <v>38.733257899999998</v>
      </c>
      <c r="E60" t="s">
        <v>65</v>
      </c>
      <c r="F60" t="s">
        <v>3</v>
      </c>
      <c r="G60" t="s">
        <v>20</v>
      </c>
      <c r="H60">
        <v>5</v>
      </c>
      <c r="I60">
        <v>0</v>
      </c>
      <c r="K60" t="s">
        <v>29</v>
      </c>
      <c r="M60" t="b">
        <v>0</v>
      </c>
      <c r="P60"/>
    </row>
    <row r="61" spans="1:16">
      <c r="A61" t="s">
        <v>0</v>
      </c>
      <c r="B61" s="152">
        <v>167482775</v>
      </c>
      <c r="C61">
        <v>56.823413299999999</v>
      </c>
      <c r="D61">
        <v>38.663335400000001</v>
      </c>
      <c r="E61" s="152" t="s">
        <v>67</v>
      </c>
      <c r="F61" t="s">
        <v>3</v>
      </c>
      <c r="G61" t="s">
        <v>19</v>
      </c>
      <c r="H61">
        <v>24</v>
      </c>
      <c r="I61">
        <v>0</v>
      </c>
      <c r="J61" t="s">
        <v>153</v>
      </c>
      <c r="K61" t="s">
        <v>31</v>
      </c>
      <c r="L61" t="s">
        <v>162</v>
      </c>
      <c r="M61" t="b">
        <v>0</v>
      </c>
      <c r="P61"/>
    </row>
    <row r="62" spans="1:16">
      <c r="A62" t="s">
        <v>0</v>
      </c>
      <c r="B62" s="152">
        <v>168519020</v>
      </c>
      <c r="C62">
        <v>56.017366949999996</v>
      </c>
      <c r="D62">
        <v>38.074250199999994</v>
      </c>
      <c r="E62" s="152" t="s">
        <v>555</v>
      </c>
      <c r="F62" t="s">
        <v>4</v>
      </c>
      <c r="G62" t="s">
        <v>19</v>
      </c>
      <c r="H62">
        <v>19</v>
      </c>
      <c r="I62">
        <v>0</v>
      </c>
      <c r="L62" t="s">
        <v>149</v>
      </c>
      <c r="M62" t="b">
        <v>0</v>
      </c>
      <c r="P62"/>
    </row>
    <row r="63" spans="1:16">
      <c r="A63" t="s">
        <v>0</v>
      </c>
      <c r="B63" s="152">
        <v>168887225</v>
      </c>
      <c r="C63">
        <v>56.399401949999998</v>
      </c>
      <c r="D63">
        <v>38.7069294</v>
      </c>
      <c r="E63" t="s">
        <v>2</v>
      </c>
      <c r="F63" t="s">
        <v>580</v>
      </c>
      <c r="H63">
        <v>8</v>
      </c>
      <c r="I63">
        <v>0</v>
      </c>
      <c r="M63" t="b">
        <v>0</v>
      </c>
      <c r="P63"/>
    </row>
    <row r="64" spans="1:16">
      <c r="A64" t="s">
        <v>0</v>
      </c>
      <c r="B64" s="152">
        <v>168944075</v>
      </c>
      <c r="C64">
        <v>56.393585399999999</v>
      </c>
      <c r="D64">
        <v>38.716375400000004</v>
      </c>
      <c r="E64" s="152" t="s">
        <v>69</v>
      </c>
      <c r="F64" t="s">
        <v>4</v>
      </c>
      <c r="G64" t="s">
        <v>19</v>
      </c>
      <c r="H64">
        <v>23</v>
      </c>
      <c r="I64">
        <v>0</v>
      </c>
      <c r="J64" t="s">
        <v>30</v>
      </c>
      <c r="K64" t="s">
        <v>31</v>
      </c>
      <c r="L64" t="s">
        <v>162</v>
      </c>
      <c r="M64" t="b">
        <v>0</v>
      </c>
      <c r="P64"/>
    </row>
    <row r="65" spans="1:17">
      <c r="A65" t="s">
        <v>0</v>
      </c>
      <c r="B65" s="152">
        <v>168944810</v>
      </c>
      <c r="C65">
        <v>56.398571050000001</v>
      </c>
      <c r="D65">
        <v>38.705335099999999</v>
      </c>
      <c r="E65" t="s">
        <v>2</v>
      </c>
      <c r="F65" t="s">
        <v>583</v>
      </c>
      <c r="G65" t="s">
        <v>584</v>
      </c>
      <c r="H65">
        <v>46</v>
      </c>
      <c r="I65">
        <v>0</v>
      </c>
      <c r="M65" t="b">
        <v>0</v>
      </c>
      <c r="N65" t="s">
        <v>142</v>
      </c>
      <c r="O65">
        <v>4</v>
      </c>
      <c r="P65"/>
    </row>
    <row r="66" spans="1:17">
      <c r="A66" t="s">
        <v>0</v>
      </c>
      <c r="B66" s="152">
        <v>168944812</v>
      </c>
      <c r="C66">
        <v>56.398342599999999</v>
      </c>
      <c r="D66">
        <v>38.705824550000003</v>
      </c>
      <c r="E66" t="s">
        <v>2</v>
      </c>
      <c r="F66" t="s">
        <v>583</v>
      </c>
      <c r="G66" t="s">
        <v>584</v>
      </c>
      <c r="H66">
        <v>102</v>
      </c>
      <c r="I66">
        <v>0</v>
      </c>
      <c r="M66" t="b">
        <v>0</v>
      </c>
      <c r="N66" t="s">
        <v>142</v>
      </c>
      <c r="O66">
        <v>4</v>
      </c>
      <c r="P66"/>
    </row>
    <row r="67" spans="1:17">
      <c r="A67" t="s">
        <v>0</v>
      </c>
      <c r="B67" s="152">
        <v>169028263</v>
      </c>
      <c r="C67">
        <v>56.742181700000003</v>
      </c>
      <c r="D67">
        <v>38.704568050000006</v>
      </c>
      <c r="E67" s="152" t="s">
        <v>74</v>
      </c>
      <c r="F67" t="s">
        <v>4</v>
      </c>
      <c r="G67" t="s">
        <v>19</v>
      </c>
      <c r="H67">
        <v>23</v>
      </c>
      <c r="I67">
        <v>0</v>
      </c>
      <c r="J67" t="s">
        <v>30</v>
      </c>
      <c r="K67" t="s">
        <v>31</v>
      </c>
      <c r="L67" t="s">
        <v>159</v>
      </c>
      <c r="M67" t="b">
        <v>0</v>
      </c>
      <c r="P67"/>
    </row>
    <row r="68" spans="1:17">
      <c r="A68" t="s">
        <v>0</v>
      </c>
      <c r="B68" s="152">
        <v>169592483</v>
      </c>
      <c r="C68">
        <v>56.398238200000002</v>
      </c>
      <c r="D68">
        <v>38.705696250000003</v>
      </c>
      <c r="E68" s="152" t="s">
        <v>70</v>
      </c>
      <c r="F68" t="s">
        <v>4</v>
      </c>
      <c r="G68" t="s">
        <v>19</v>
      </c>
      <c r="H68">
        <v>19</v>
      </c>
      <c r="I68">
        <v>0</v>
      </c>
      <c r="J68" t="s">
        <v>131</v>
      </c>
      <c r="K68" t="s">
        <v>132</v>
      </c>
      <c r="L68" t="s">
        <v>163</v>
      </c>
      <c r="M68" t="b">
        <v>0</v>
      </c>
      <c r="P68"/>
    </row>
    <row r="69" spans="1:17">
      <c r="A69" t="s">
        <v>0</v>
      </c>
      <c r="B69" s="152">
        <v>171746574</v>
      </c>
      <c r="C69">
        <v>56.109943400000006</v>
      </c>
      <c r="D69">
        <v>38.881739699999997</v>
      </c>
      <c r="E69" s="152" t="s">
        <v>527</v>
      </c>
      <c r="F69" t="s">
        <v>4</v>
      </c>
      <c r="G69" t="s">
        <v>20</v>
      </c>
      <c r="H69">
        <v>10</v>
      </c>
      <c r="I69">
        <v>0</v>
      </c>
      <c r="L69" t="s">
        <v>160</v>
      </c>
      <c r="M69" t="b">
        <v>0</v>
      </c>
      <c r="P69"/>
    </row>
    <row r="70" spans="1:17">
      <c r="A70" t="s">
        <v>0</v>
      </c>
      <c r="B70" s="152">
        <v>171750412</v>
      </c>
      <c r="C70">
        <v>56.072218300000003</v>
      </c>
      <c r="D70">
        <v>38.853234749999999</v>
      </c>
      <c r="E70" s="152" t="s">
        <v>71</v>
      </c>
      <c r="F70" t="s">
        <v>11</v>
      </c>
      <c r="G70" t="s">
        <v>20</v>
      </c>
      <c r="H70">
        <v>5</v>
      </c>
      <c r="I70">
        <v>0</v>
      </c>
      <c r="J70" t="s">
        <v>341</v>
      </c>
      <c r="K70" t="s">
        <v>132</v>
      </c>
      <c r="L70" t="s">
        <v>160</v>
      </c>
      <c r="M70" t="b">
        <v>0</v>
      </c>
      <c r="P70"/>
    </row>
    <row r="71" spans="1:17">
      <c r="A71" t="s">
        <v>0</v>
      </c>
      <c r="B71" s="152">
        <v>172183012</v>
      </c>
      <c r="C71">
        <v>56.516181250000002</v>
      </c>
      <c r="D71">
        <v>38.402141900000004</v>
      </c>
      <c r="E71" t="s">
        <v>65</v>
      </c>
      <c r="F71" t="s">
        <v>3</v>
      </c>
      <c r="G71" t="s">
        <v>18</v>
      </c>
      <c r="H71">
        <v>8</v>
      </c>
      <c r="I71">
        <v>0</v>
      </c>
      <c r="M71" t="b">
        <v>0</v>
      </c>
      <c r="P71"/>
    </row>
    <row r="72" spans="1:17">
      <c r="A72" t="s">
        <v>0</v>
      </c>
      <c r="B72" s="152">
        <v>172230815</v>
      </c>
      <c r="C72">
        <v>56.511370900000003</v>
      </c>
      <c r="D72">
        <v>38.343344900000005</v>
      </c>
      <c r="E72" s="152" t="s">
        <v>528</v>
      </c>
      <c r="F72" t="s">
        <v>11</v>
      </c>
      <c r="G72" t="s">
        <v>20</v>
      </c>
      <c r="H72">
        <v>4</v>
      </c>
      <c r="I72">
        <v>0</v>
      </c>
      <c r="K72" t="s">
        <v>29</v>
      </c>
      <c r="L72" t="s">
        <v>160</v>
      </c>
      <c r="M72" t="b">
        <v>0</v>
      </c>
      <c r="P72"/>
    </row>
    <row r="73" spans="1:17">
      <c r="A73" t="s">
        <v>0</v>
      </c>
      <c r="B73" s="152">
        <v>173028792</v>
      </c>
      <c r="C73">
        <v>56.729446949999996</v>
      </c>
      <c r="D73">
        <v>38.358778700000002</v>
      </c>
      <c r="E73" s="152" t="s">
        <v>49</v>
      </c>
      <c r="F73" t="s">
        <v>3</v>
      </c>
      <c r="G73" t="s">
        <v>19</v>
      </c>
      <c r="H73">
        <v>14</v>
      </c>
      <c r="I73">
        <v>0</v>
      </c>
      <c r="J73" t="s">
        <v>30</v>
      </c>
      <c r="K73" t="s">
        <v>31</v>
      </c>
      <c r="L73" t="s">
        <v>160</v>
      </c>
      <c r="M73" t="b">
        <v>0</v>
      </c>
      <c r="P73"/>
    </row>
    <row r="74" spans="1:17">
      <c r="A74" t="s">
        <v>0</v>
      </c>
      <c r="B74" s="152">
        <v>173516101</v>
      </c>
      <c r="C74">
        <v>56.042372799999995</v>
      </c>
      <c r="D74">
        <v>38.480064549999994</v>
      </c>
      <c r="E74" s="152" t="s">
        <v>72</v>
      </c>
      <c r="F74" t="s">
        <v>4</v>
      </c>
      <c r="G74" t="s">
        <v>19</v>
      </c>
      <c r="H74">
        <v>29</v>
      </c>
      <c r="I74">
        <v>0</v>
      </c>
      <c r="J74" t="s">
        <v>30</v>
      </c>
      <c r="K74" t="s">
        <v>31</v>
      </c>
      <c r="L74" t="s">
        <v>149</v>
      </c>
      <c r="M74" t="b">
        <v>0</v>
      </c>
      <c r="P74"/>
    </row>
    <row r="75" spans="1:17">
      <c r="A75" t="s">
        <v>0</v>
      </c>
      <c r="B75" s="152">
        <v>174696499</v>
      </c>
      <c r="C75">
        <v>56.400113449999999</v>
      </c>
      <c r="D75">
        <v>38.73984025</v>
      </c>
      <c r="E75" s="152" t="s">
        <v>73</v>
      </c>
      <c r="F75" t="s">
        <v>21</v>
      </c>
      <c r="G75" t="s">
        <v>26</v>
      </c>
      <c r="H75">
        <v>17</v>
      </c>
      <c r="I75">
        <v>0</v>
      </c>
      <c r="J75" t="s">
        <v>30</v>
      </c>
      <c r="K75" t="s">
        <v>31</v>
      </c>
      <c r="L75" t="s">
        <v>158</v>
      </c>
      <c r="M75" t="b">
        <v>0</v>
      </c>
      <c r="P75"/>
    </row>
    <row r="76" spans="1:17">
      <c r="A76" t="s">
        <v>0</v>
      </c>
      <c r="B76" s="152">
        <v>174696500</v>
      </c>
      <c r="C76">
        <v>56.400506049999997</v>
      </c>
      <c r="D76">
        <v>38.739418799999996</v>
      </c>
      <c r="E76" s="152" t="s">
        <v>42</v>
      </c>
      <c r="F76" t="s">
        <v>4</v>
      </c>
      <c r="G76" t="s">
        <v>19</v>
      </c>
      <c r="H76">
        <v>35</v>
      </c>
      <c r="I76">
        <v>0</v>
      </c>
      <c r="J76" t="s">
        <v>30</v>
      </c>
      <c r="K76" t="s">
        <v>31</v>
      </c>
      <c r="L76" t="s">
        <v>158</v>
      </c>
      <c r="M76" t="b">
        <v>0</v>
      </c>
      <c r="N76" t="s">
        <v>145</v>
      </c>
      <c r="O76">
        <v>4</v>
      </c>
      <c r="P76">
        <v>4</v>
      </c>
      <c r="Q76" t="s">
        <v>548</v>
      </c>
    </row>
    <row r="77" spans="1:17">
      <c r="A77" t="s">
        <v>0</v>
      </c>
      <c r="B77" s="152">
        <v>174696501</v>
      </c>
      <c r="C77">
        <v>56.400900450000002</v>
      </c>
      <c r="D77">
        <v>38.740489350000004</v>
      </c>
      <c r="E77" s="152" t="s">
        <v>74</v>
      </c>
      <c r="F77" t="s">
        <v>4</v>
      </c>
      <c r="G77" t="s">
        <v>19</v>
      </c>
      <c r="H77">
        <v>37</v>
      </c>
      <c r="I77">
        <v>0</v>
      </c>
      <c r="J77" t="s">
        <v>30</v>
      </c>
      <c r="K77" t="s">
        <v>31</v>
      </c>
      <c r="L77" t="s">
        <v>158</v>
      </c>
      <c r="M77" t="b">
        <v>0</v>
      </c>
      <c r="N77" t="s">
        <v>145</v>
      </c>
      <c r="O77">
        <v>4</v>
      </c>
      <c r="P77">
        <v>4</v>
      </c>
      <c r="Q77" t="s">
        <v>548</v>
      </c>
    </row>
    <row r="78" spans="1:17">
      <c r="A78" t="s">
        <v>0</v>
      </c>
      <c r="B78" s="152">
        <v>174696502</v>
      </c>
      <c r="C78">
        <v>56.400267049999997</v>
      </c>
      <c r="D78">
        <v>38.741068200000001</v>
      </c>
      <c r="E78" s="152" t="s">
        <v>75</v>
      </c>
      <c r="F78" t="s">
        <v>11</v>
      </c>
      <c r="G78" t="s">
        <v>20</v>
      </c>
      <c r="H78">
        <v>7</v>
      </c>
      <c r="I78">
        <v>0</v>
      </c>
      <c r="J78" t="s">
        <v>30</v>
      </c>
      <c r="K78" t="s">
        <v>31</v>
      </c>
      <c r="L78" t="s">
        <v>159</v>
      </c>
      <c r="M78" t="b">
        <v>0</v>
      </c>
      <c r="P78"/>
    </row>
    <row r="79" spans="1:17">
      <c r="A79" t="s">
        <v>0</v>
      </c>
      <c r="B79" s="152">
        <v>174697310</v>
      </c>
      <c r="C79">
        <v>56.400371500000006</v>
      </c>
      <c r="D79">
        <v>38.742054999999993</v>
      </c>
      <c r="E79" s="152" t="s">
        <v>76</v>
      </c>
      <c r="F79" t="s">
        <v>4</v>
      </c>
      <c r="G79" t="s">
        <v>19</v>
      </c>
      <c r="H79">
        <v>15</v>
      </c>
      <c r="I79">
        <v>0</v>
      </c>
      <c r="J79" t="s">
        <v>30</v>
      </c>
      <c r="K79" t="s">
        <v>31</v>
      </c>
      <c r="L79" t="s">
        <v>573</v>
      </c>
      <c r="M79" t="b">
        <v>0</v>
      </c>
      <c r="N79" t="s">
        <v>145</v>
      </c>
      <c r="O79">
        <v>4</v>
      </c>
      <c r="P79">
        <v>4</v>
      </c>
      <c r="Q79" t="s">
        <v>546</v>
      </c>
    </row>
    <row r="80" spans="1:17">
      <c r="A80" t="s">
        <v>0</v>
      </c>
      <c r="B80" s="152">
        <v>174697600</v>
      </c>
      <c r="C80">
        <v>56.400069000000002</v>
      </c>
      <c r="D80">
        <v>38.741782650000005</v>
      </c>
      <c r="E80" s="152" t="s">
        <v>72</v>
      </c>
      <c r="F80" t="s">
        <v>4</v>
      </c>
      <c r="G80" t="s">
        <v>19</v>
      </c>
      <c r="H80">
        <v>30</v>
      </c>
      <c r="I80">
        <v>0</v>
      </c>
      <c r="J80" t="s">
        <v>30</v>
      </c>
      <c r="K80" t="s">
        <v>31</v>
      </c>
      <c r="L80" t="s">
        <v>158</v>
      </c>
      <c r="M80" t="b">
        <v>0</v>
      </c>
      <c r="N80" t="s">
        <v>145</v>
      </c>
      <c r="O80">
        <v>4</v>
      </c>
      <c r="P80">
        <v>4</v>
      </c>
      <c r="Q80" t="s">
        <v>548</v>
      </c>
    </row>
    <row r="81" spans="1:16">
      <c r="A81" t="s">
        <v>0</v>
      </c>
      <c r="B81" s="152">
        <v>174700054</v>
      </c>
      <c r="C81">
        <v>56.401609950000001</v>
      </c>
      <c r="D81">
        <v>38.738124499999998</v>
      </c>
      <c r="E81" s="152" t="s">
        <v>77</v>
      </c>
      <c r="F81" t="s">
        <v>4</v>
      </c>
      <c r="G81" t="s">
        <v>19</v>
      </c>
      <c r="H81">
        <v>21</v>
      </c>
      <c r="I81">
        <v>0</v>
      </c>
      <c r="J81" t="s">
        <v>30</v>
      </c>
      <c r="K81" t="s">
        <v>31</v>
      </c>
      <c r="L81" t="s">
        <v>159</v>
      </c>
      <c r="M81" t="b">
        <v>0</v>
      </c>
      <c r="P81"/>
    </row>
    <row r="82" spans="1:16">
      <c r="A82" t="s">
        <v>0</v>
      </c>
      <c r="B82" s="152">
        <v>176273120</v>
      </c>
      <c r="C82">
        <v>56.391893949999996</v>
      </c>
      <c r="D82">
        <v>38.5171086</v>
      </c>
      <c r="E82" s="152" t="s">
        <v>146</v>
      </c>
      <c r="F82" t="s">
        <v>4</v>
      </c>
      <c r="G82" t="s">
        <v>19</v>
      </c>
      <c r="H82">
        <v>23</v>
      </c>
      <c r="I82">
        <v>0</v>
      </c>
      <c r="L82" t="s">
        <v>149</v>
      </c>
      <c r="M82" t="b">
        <v>0</v>
      </c>
      <c r="P82"/>
    </row>
    <row r="83" spans="1:16">
      <c r="A83" t="s">
        <v>0</v>
      </c>
      <c r="B83" s="152">
        <v>177156668</v>
      </c>
      <c r="C83">
        <v>56.81992545</v>
      </c>
      <c r="D83">
        <v>38.677992200000006</v>
      </c>
      <c r="E83" t="s">
        <v>2</v>
      </c>
      <c r="F83" t="s">
        <v>580</v>
      </c>
      <c r="H83">
        <v>5</v>
      </c>
      <c r="I83">
        <v>0</v>
      </c>
      <c r="M83" t="b">
        <v>0</v>
      </c>
      <c r="P83"/>
    </row>
    <row r="84" spans="1:16">
      <c r="A84" t="s">
        <v>0</v>
      </c>
      <c r="B84" s="152">
        <v>179006892</v>
      </c>
      <c r="C84">
        <v>56.005543850000002</v>
      </c>
      <c r="D84">
        <v>38.59952535</v>
      </c>
      <c r="E84" s="152" t="s">
        <v>68</v>
      </c>
      <c r="F84" t="s">
        <v>4</v>
      </c>
      <c r="G84" t="s">
        <v>19</v>
      </c>
      <c r="H84">
        <v>27</v>
      </c>
      <c r="I84">
        <v>0</v>
      </c>
      <c r="J84" t="s">
        <v>557</v>
      </c>
      <c r="K84" t="s">
        <v>31</v>
      </c>
      <c r="L84" t="s">
        <v>161</v>
      </c>
      <c r="M84" t="b">
        <v>0</v>
      </c>
      <c r="P84"/>
    </row>
    <row r="85" spans="1:16">
      <c r="A85" t="s">
        <v>0</v>
      </c>
      <c r="B85" s="152">
        <v>179341741</v>
      </c>
      <c r="C85">
        <v>56.154135050000001</v>
      </c>
      <c r="D85">
        <v>38.861290699999998</v>
      </c>
      <c r="E85" s="152" t="s">
        <v>49</v>
      </c>
      <c r="F85" t="s">
        <v>4</v>
      </c>
      <c r="G85" t="s">
        <v>19</v>
      </c>
      <c r="H85">
        <v>29</v>
      </c>
      <c r="I85">
        <v>0</v>
      </c>
      <c r="J85" t="s">
        <v>458</v>
      </c>
      <c r="K85" t="s">
        <v>31</v>
      </c>
      <c r="L85" t="s">
        <v>159</v>
      </c>
      <c r="M85" t="b">
        <v>0</v>
      </c>
      <c r="P85"/>
    </row>
    <row r="86" spans="1:16">
      <c r="A86" t="s">
        <v>0</v>
      </c>
      <c r="B86" s="152">
        <v>180839957</v>
      </c>
      <c r="C86">
        <v>56.461823899999999</v>
      </c>
      <c r="D86">
        <v>38.837769949999995</v>
      </c>
      <c r="E86" s="152" t="s">
        <v>74</v>
      </c>
      <c r="F86" t="s">
        <v>4</v>
      </c>
      <c r="G86" t="s">
        <v>19</v>
      </c>
      <c r="H86">
        <v>18</v>
      </c>
      <c r="I86">
        <v>0</v>
      </c>
      <c r="L86" t="s">
        <v>162</v>
      </c>
      <c r="M86" t="b">
        <v>0</v>
      </c>
      <c r="P86"/>
    </row>
    <row r="87" spans="1:16">
      <c r="A87" t="s">
        <v>0</v>
      </c>
      <c r="B87" s="152">
        <v>180840007</v>
      </c>
      <c r="C87">
        <v>56.466616999999999</v>
      </c>
      <c r="D87">
        <v>38.901889350000005</v>
      </c>
      <c r="E87" s="152" t="s">
        <v>68</v>
      </c>
      <c r="F87" t="s">
        <v>4</v>
      </c>
      <c r="G87" t="s">
        <v>19</v>
      </c>
      <c r="H87">
        <v>20</v>
      </c>
      <c r="I87">
        <v>0</v>
      </c>
      <c r="J87" t="s">
        <v>30</v>
      </c>
      <c r="K87" t="s">
        <v>31</v>
      </c>
      <c r="L87" t="s">
        <v>162</v>
      </c>
      <c r="M87" t="b">
        <v>0</v>
      </c>
      <c r="P87"/>
    </row>
    <row r="88" spans="1:16">
      <c r="A88" t="s">
        <v>0</v>
      </c>
      <c r="B88" s="152">
        <v>181205357</v>
      </c>
      <c r="C88">
        <v>56.274197099999995</v>
      </c>
      <c r="D88">
        <v>38.971849750000004</v>
      </c>
      <c r="E88" s="152" t="s">
        <v>556</v>
      </c>
      <c r="F88" t="s">
        <v>4</v>
      </c>
      <c r="G88" t="s">
        <v>19</v>
      </c>
      <c r="H88">
        <v>28</v>
      </c>
      <c r="I88">
        <v>0</v>
      </c>
      <c r="J88" t="s">
        <v>30</v>
      </c>
      <c r="K88" t="s">
        <v>31</v>
      </c>
      <c r="L88" t="s">
        <v>159</v>
      </c>
      <c r="M88" t="b">
        <v>0</v>
      </c>
      <c r="P88"/>
    </row>
    <row r="89" spans="1:16">
      <c r="A89" t="s">
        <v>0</v>
      </c>
      <c r="B89" s="152">
        <v>181419572</v>
      </c>
      <c r="C89">
        <v>56.88026275</v>
      </c>
      <c r="D89">
        <v>38.476160300000004</v>
      </c>
      <c r="E89" s="152" t="s">
        <v>49</v>
      </c>
      <c r="F89" t="s">
        <v>4</v>
      </c>
      <c r="G89" t="s">
        <v>19</v>
      </c>
      <c r="H89">
        <v>25</v>
      </c>
      <c r="I89">
        <v>0</v>
      </c>
      <c r="J89" t="s">
        <v>500</v>
      </c>
      <c r="K89" t="s">
        <v>31</v>
      </c>
      <c r="L89" t="s">
        <v>162</v>
      </c>
      <c r="M89" t="b">
        <v>0</v>
      </c>
      <c r="P89"/>
    </row>
    <row r="90" spans="1:16">
      <c r="A90" t="s">
        <v>0</v>
      </c>
      <c r="B90" s="152">
        <v>181675547</v>
      </c>
      <c r="C90">
        <v>56.503504700000001</v>
      </c>
      <c r="D90">
        <v>38.547902450000002</v>
      </c>
      <c r="E90" s="152" t="s">
        <v>115</v>
      </c>
      <c r="F90" t="s">
        <v>4</v>
      </c>
      <c r="G90" t="s">
        <v>19</v>
      </c>
      <c r="H90">
        <v>16</v>
      </c>
      <c r="I90">
        <v>0</v>
      </c>
      <c r="J90" t="s">
        <v>234</v>
      </c>
      <c r="K90" t="s">
        <v>31</v>
      </c>
      <c r="L90" t="s">
        <v>160</v>
      </c>
      <c r="M90" t="b">
        <v>0</v>
      </c>
      <c r="P90"/>
    </row>
    <row r="91" spans="1:16">
      <c r="A91" t="s">
        <v>0</v>
      </c>
      <c r="B91" s="152">
        <v>182809170</v>
      </c>
      <c r="C91">
        <v>56.317835250000002</v>
      </c>
      <c r="D91">
        <v>38.71568525</v>
      </c>
      <c r="E91" s="152" t="s">
        <v>78</v>
      </c>
      <c r="F91" t="s">
        <v>3</v>
      </c>
      <c r="G91" t="s">
        <v>19</v>
      </c>
      <c r="H91">
        <v>26</v>
      </c>
      <c r="I91">
        <v>0</v>
      </c>
      <c r="J91" t="s">
        <v>131</v>
      </c>
      <c r="K91" t="s">
        <v>31</v>
      </c>
      <c r="L91" t="s">
        <v>160</v>
      </c>
      <c r="M91" t="b">
        <v>0</v>
      </c>
      <c r="P91"/>
    </row>
    <row r="92" spans="1:16">
      <c r="A92" t="s">
        <v>0</v>
      </c>
      <c r="B92" s="152">
        <v>187377957</v>
      </c>
      <c r="C92">
        <v>56.339400249999997</v>
      </c>
      <c r="D92">
        <v>38.138732500000003</v>
      </c>
      <c r="E92" s="152" t="s">
        <v>79</v>
      </c>
      <c r="F92" t="s">
        <v>4</v>
      </c>
      <c r="G92" t="s">
        <v>19</v>
      </c>
      <c r="H92">
        <v>25</v>
      </c>
      <c r="I92">
        <v>0</v>
      </c>
      <c r="J92" t="s">
        <v>30</v>
      </c>
      <c r="K92" t="s">
        <v>31</v>
      </c>
      <c r="L92" t="s">
        <v>160</v>
      </c>
      <c r="M92" t="b">
        <v>0</v>
      </c>
      <c r="P92"/>
    </row>
    <row r="93" spans="1:16">
      <c r="A93" t="s">
        <v>0</v>
      </c>
      <c r="B93" s="152">
        <v>188188546</v>
      </c>
      <c r="C93">
        <v>56.297447349999999</v>
      </c>
      <c r="D93">
        <v>38.115590900000001</v>
      </c>
      <c r="E93" s="152" t="s">
        <v>44</v>
      </c>
      <c r="F93" t="s">
        <v>4</v>
      </c>
      <c r="G93" t="s">
        <v>19</v>
      </c>
      <c r="H93">
        <v>16</v>
      </c>
      <c r="I93">
        <v>0</v>
      </c>
      <c r="J93" t="s">
        <v>30</v>
      </c>
      <c r="K93" t="s">
        <v>31</v>
      </c>
      <c r="L93" t="s">
        <v>162</v>
      </c>
      <c r="M93" t="b">
        <v>0</v>
      </c>
      <c r="P93"/>
    </row>
    <row r="94" spans="1:16">
      <c r="A94" t="s">
        <v>0</v>
      </c>
      <c r="B94" s="152">
        <v>193003450</v>
      </c>
      <c r="C94">
        <v>56.155375149999998</v>
      </c>
      <c r="D94">
        <v>38.507480299999997</v>
      </c>
      <c r="E94" s="152" t="s">
        <v>78</v>
      </c>
      <c r="F94" t="s">
        <v>4</v>
      </c>
      <c r="G94" t="s">
        <v>19</v>
      </c>
      <c r="H94">
        <v>19</v>
      </c>
      <c r="I94">
        <v>0</v>
      </c>
      <c r="L94" t="s">
        <v>159</v>
      </c>
      <c r="M94" t="b">
        <v>0</v>
      </c>
      <c r="P94"/>
    </row>
    <row r="95" spans="1:16">
      <c r="A95" t="s">
        <v>0</v>
      </c>
      <c r="B95" s="152">
        <v>193468132</v>
      </c>
      <c r="C95">
        <v>56.434413450000001</v>
      </c>
      <c r="D95">
        <v>38.783486999999994</v>
      </c>
      <c r="E95" s="152" t="s">
        <v>68</v>
      </c>
      <c r="F95" t="s">
        <v>4</v>
      </c>
      <c r="G95" t="s">
        <v>19</v>
      </c>
      <c r="H95">
        <v>21</v>
      </c>
      <c r="I95">
        <v>0</v>
      </c>
      <c r="J95" t="s">
        <v>30</v>
      </c>
      <c r="K95" t="s">
        <v>31</v>
      </c>
      <c r="L95" t="s">
        <v>159</v>
      </c>
      <c r="M95" t="b">
        <v>0</v>
      </c>
      <c r="P95"/>
    </row>
    <row r="96" spans="1:16">
      <c r="A96" t="s">
        <v>0</v>
      </c>
      <c r="B96" s="152">
        <v>202905760</v>
      </c>
      <c r="C96">
        <v>56.414285800000002</v>
      </c>
      <c r="D96">
        <v>38.668711799999997</v>
      </c>
      <c r="E96" t="s">
        <v>2</v>
      </c>
      <c r="F96" t="s">
        <v>3</v>
      </c>
      <c r="G96" t="s">
        <v>20</v>
      </c>
      <c r="H96">
        <v>5</v>
      </c>
      <c r="I96">
        <v>0</v>
      </c>
      <c r="M96" t="b">
        <v>0</v>
      </c>
      <c r="P96"/>
    </row>
    <row r="97" spans="1:17">
      <c r="A97" t="s">
        <v>0</v>
      </c>
      <c r="B97" s="152">
        <v>203189719</v>
      </c>
      <c r="C97">
        <v>56.423028299999999</v>
      </c>
      <c r="D97">
        <v>38.685958300000003</v>
      </c>
      <c r="E97" s="152" t="s">
        <v>80</v>
      </c>
      <c r="F97" t="s">
        <v>4</v>
      </c>
      <c r="G97" t="s">
        <v>19</v>
      </c>
      <c r="H97">
        <v>20</v>
      </c>
      <c r="I97">
        <v>0</v>
      </c>
      <c r="J97" t="s">
        <v>30</v>
      </c>
      <c r="K97" t="s">
        <v>31</v>
      </c>
      <c r="L97" t="s">
        <v>149</v>
      </c>
      <c r="M97" t="b">
        <v>0</v>
      </c>
      <c r="P97"/>
    </row>
    <row r="98" spans="1:17">
      <c r="A98" t="s">
        <v>0</v>
      </c>
      <c r="B98" s="152">
        <v>206132345</v>
      </c>
      <c r="C98">
        <v>56.007492350000007</v>
      </c>
      <c r="D98">
        <v>38.138338099999999</v>
      </c>
      <c r="E98" s="152" t="s">
        <v>81</v>
      </c>
      <c r="F98" t="s">
        <v>4</v>
      </c>
      <c r="G98" t="s">
        <v>19</v>
      </c>
      <c r="H98">
        <v>17</v>
      </c>
      <c r="I98">
        <v>0</v>
      </c>
      <c r="J98" t="s">
        <v>30</v>
      </c>
      <c r="K98" t="s">
        <v>31</v>
      </c>
      <c r="L98" t="s">
        <v>160</v>
      </c>
      <c r="M98" t="b">
        <v>0</v>
      </c>
      <c r="P98"/>
    </row>
    <row r="99" spans="1:17">
      <c r="A99" t="s">
        <v>0</v>
      </c>
      <c r="B99" s="152">
        <v>206132346</v>
      </c>
      <c r="C99">
        <v>56.019540550000002</v>
      </c>
      <c r="D99">
        <v>38.167311499999997</v>
      </c>
      <c r="E99" s="152" t="s">
        <v>63</v>
      </c>
      <c r="F99" t="s">
        <v>4</v>
      </c>
      <c r="G99" t="s">
        <v>19</v>
      </c>
      <c r="H99">
        <v>17</v>
      </c>
      <c r="I99">
        <v>0</v>
      </c>
      <c r="J99" t="s">
        <v>30</v>
      </c>
      <c r="K99" t="s">
        <v>31</v>
      </c>
      <c r="L99" t="s">
        <v>159</v>
      </c>
      <c r="M99" t="b">
        <v>0</v>
      </c>
      <c r="P99"/>
    </row>
    <row r="100" spans="1:17">
      <c r="A100" t="s">
        <v>0</v>
      </c>
      <c r="B100" s="152">
        <v>206132347</v>
      </c>
      <c r="C100">
        <v>56.019825650000001</v>
      </c>
      <c r="D100">
        <v>38.166826800000003</v>
      </c>
      <c r="E100" s="152" t="s">
        <v>82</v>
      </c>
      <c r="F100" t="s">
        <v>11</v>
      </c>
      <c r="G100" t="s">
        <v>20</v>
      </c>
      <c r="H100">
        <v>4</v>
      </c>
      <c r="I100">
        <v>0</v>
      </c>
      <c r="K100" t="s">
        <v>29</v>
      </c>
      <c r="L100" t="s">
        <v>160</v>
      </c>
      <c r="M100" t="b">
        <v>0</v>
      </c>
      <c r="P100"/>
    </row>
    <row r="101" spans="1:17">
      <c r="A101" t="s">
        <v>0</v>
      </c>
      <c r="B101" s="152">
        <v>206151674</v>
      </c>
      <c r="C101">
        <v>56.157806350000001</v>
      </c>
      <c r="D101">
        <v>38.0950992</v>
      </c>
      <c r="E101" s="152" t="s">
        <v>83</v>
      </c>
      <c r="F101" t="s">
        <v>4</v>
      </c>
      <c r="G101" t="s">
        <v>19</v>
      </c>
      <c r="H101">
        <v>21</v>
      </c>
      <c r="I101">
        <v>0</v>
      </c>
      <c r="J101" t="s">
        <v>30</v>
      </c>
      <c r="K101" t="s">
        <v>31</v>
      </c>
      <c r="L101" t="s">
        <v>160</v>
      </c>
      <c r="M101" t="b">
        <v>0</v>
      </c>
      <c r="P101"/>
    </row>
    <row r="102" spans="1:17">
      <c r="A102" t="s">
        <v>0</v>
      </c>
      <c r="B102" s="152">
        <v>206151680</v>
      </c>
      <c r="C102">
        <v>56.111267949999998</v>
      </c>
      <c r="D102">
        <v>38.171600850000004</v>
      </c>
      <c r="E102" s="152" t="s">
        <v>49</v>
      </c>
      <c r="F102" t="s">
        <v>4</v>
      </c>
      <c r="G102" t="s">
        <v>19</v>
      </c>
      <c r="H102">
        <v>30</v>
      </c>
      <c r="I102">
        <v>0</v>
      </c>
      <c r="L102" t="s">
        <v>162</v>
      </c>
      <c r="M102" t="b">
        <v>0</v>
      </c>
      <c r="P102"/>
    </row>
    <row r="103" spans="1:17">
      <c r="A103" t="s">
        <v>0</v>
      </c>
      <c r="B103" s="152">
        <v>206151689</v>
      </c>
      <c r="C103">
        <v>56.066034700000003</v>
      </c>
      <c r="D103">
        <v>38.015010400000001</v>
      </c>
      <c r="E103" s="152" t="s">
        <v>84</v>
      </c>
      <c r="F103" t="s">
        <v>4</v>
      </c>
      <c r="G103" t="s">
        <v>20</v>
      </c>
      <c r="H103">
        <v>7</v>
      </c>
      <c r="I103">
        <v>0</v>
      </c>
      <c r="J103" t="s">
        <v>301</v>
      </c>
      <c r="K103" t="s">
        <v>31</v>
      </c>
      <c r="L103" t="s">
        <v>160</v>
      </c>
      <c r="M103" t="b">
        <v>0</v>
      </c>
      <c r="P103"/>
    </row>
    <row r="104" spans="1:17">
      <c r="A104" t="s">
        <v>0</v>
      </c>
      <c r="B104" s="152">
        <v>206288038</v>
      </c>
      <c r="C104">
        <v>56.45138025</v>
      </c>
      <c r="D104">
        <v>38.099731349999999</v>
      </c>
      <c r="E104" s="152" t="s">
        <v>568</v>
      </c>
      <c r="F104" t="s">
        <v>11</v>
      </c>
      <c r="G104" t="s">
        <v>20</v>
      </c>
      <c r="H104">
        <v>5</v>
      </c>
      <c r="I104">
        <v>9.4600000000000009</v>
      </c>
      <c r="J104" t="s">
        <v>153</v>
      </c>
      <c r="K104" t="s">
        <v>31</v>
      </c>
      <c r="L104" t="s">
        <v>160</v>
      </c>
      <c r="M104" t="b">
        <v>1</v>
      </c>
      <c r="P104"/>
    </row>
    <row r="105" spans="1:17">
      <c r="A105" t="s">
        <v>0</v>
      </c>
      <c r="B105" s="152">
        <v>207841293</v>
      </c>
      <c r="C105">
        <v>56.052104400000005</v>
      </c>
      <c r="D105">
        <v>38.16566735</v>
      </c>
      <c r="E105" s="152" t="s">
        <v>74</v>
      </c>
      <c r="F105" t="s">
        <v>4</v>
      </c>
      <c r="G105" t="s">
        <v>19</v>
      </c>
      <c r="H105">
        <v>20</v>
      </c>
      <c r="I105">
        <v>0</v>
      </c>
      <c r="J105" t="s">
        <v>341</v>
      </c>
      <c r="K105" t="s">
        <v>31</v>
      </c>
      <c r="L105" t="s">
        <v>160</v>
      </c>
      <c r="M105" t="b">
        <v>0</v>
      </c>
      <c r="P105"/>
    </row>
    <row r="106" spans="1:17">
      <c r="A106" t="s">
        <v>0</v>
      </c>
      <c r="B106" s="152">
        <v>213860413</v>
      </c>
      <c r="C106">
        <v>56.572126400000002</v>
      </c>
      <c r="D106">
        <v>38.125688699999998</v>
      </c>
      <c r="E106" s="152" t="s">
        <v>84</v>
      </c>
      <c r="F106" t="s">
        <v>4</v>
      </c>
      <c r="G106" t="s">
        <v>19</v>
      </c>
      <c r="H106">
        <v>23</v>
      </c>
      <c r="I106">
        <v>0</v>
      </c>
      <c r="J106" t="s">
        <v>30</v>
      </c>
      <c r="K106" t="s">
        <v>31</v>
      </c>
      <c r="L106" t="s">
        <v>162</v>
      </c>
      <c r="M106" t="b">
        <v>0</v>
      </c>
      <c r="P106"/>
    </row>
    <row r="107" spans="1:17">
      <c r="A107" t="s">
        <v>0</v>
      </c>
      <c r="B107" s="152">
        <v>213865123</v>
      </c>
      <c r="C107">
        <v>56.580879949999996</v>
      </c>
      <c r="D107">
        <v>38.158621350000004</v>
      </c>
      <c r="E107" t="s">
        <v>2</v>
      </c>
      <c r="F107" t="s">
        <v>580</v>
      </c>
      <c r="H107">
        <v>7</v>
      </c>
      <c r="I107">
        <v>0</v>
      </c>
      <c r="M107" t="b">
        <v>0</v>
      </c>
      <c r="P107"/>
    </row>
    <row r="108" spans="1:17">
      <c r="A108" t="s">
        <v>0</v>
      </c>
      <c r="B108" s="152">
        <v>215184795</v>
      </c>
      <c r="C108">
        <v>56.735233449999996</v>
      </c>
      <c r="D108">
        <v>38.828541849999993</v>
      </c>
      <c r="E108" s="152" t="s">
        <v>103</v>
      </c>
      <c r="F108" t="s">
        <v>4</v>
      </c>
      <c r="G108" t="s">
        <v>19</v>
      </c>
      <c r="H108">
        <v>19</v>
      </c>
      <c r="I108">
        <v>0</v>
      </c>
      <c r="J108" t="s">
        <v>557</v>
      </c>
      <c r="K108" t="s">
        <v>31</v>
      </c>
      <c r="L108" t="s">
        <v>151</v>
      </c>
      <c r="M108" t="b">
        <v>0</v>
      </c>
      <c r="P108"/>
    </row>
    <row r="109" spans="1:17">
      <c r="A109" t="s">
        <v>0</v>
      </c>
      <c r="B109" s="152">
        <v>215302044</v>
      </c>
      <c r="C109">
        <v>56.38503025</v>
      </c>
      <c r="D109">
        <v>38.575430849999996</v>
      </c>
      <c r="E109" t="s">
        <v>575</v>
      </c>
      <c r="F109" t="s">
        <v>3</v>
      </c>
      <c r="G109" t="s">
        <v>20</v>
      </c>
      <c r="H109">
        <v>6</v>
      </c>
      <c r="I109">
        <v>0</v>
      </c>
      <c r="L109" t="s">
        <v>160</v>
      </c>
      <c r="M109" t="b">
        <v>0</v>
      </c>
      <c r="P109"/>
    </row>
    <row r="110" spans="1:17">
      <c r="A110" t="s">
        <v>0</v>
      </c>
      <c r="B110" s="152">
        <v>215646382</v>
      </c>
      <c r="C110">
        <v>56.410420450000004</v>
      </c>
      <c r="D110">
        <v>38.167164</v>
      </c>
      <c r="E110" s="152" t="s">
        <v>86</v>
      </c>
      <c r="F110" t="s">
        <v>4</v>
      </c>
      <c r="G110" t="s">
        <v>19</v>
      </c>
      <c r="H110">
        <v>13</v>
      </c>
      <c r="I110">
        <v>0</v>
      </c>
      <c r="K110" t="s">
        <v>29</v>
      </c>
      <c r="L110" t="s">
        <v>160</v>
      </c>
      <c r="M110" t="b">
        <v>0</v>
      </c>
      <c r="P110"/>
    </row>
    <row r="111" spans="1:17">
      <c r="A111" t="s">
        <v>0</v>
      </c>
      <c r="B111" s="152">
        <v>218401394</v>
      </c>
      <c r="C111">
        <v>56.503601500000002</v>
      </c>
      <c r="D111">
        <v>38.712545949999999</v>
      </c>
      <c r="E111" s="152" t="s">
        <v>87</v>
      </c>
      <c r="F111" t="s">
        <v>4</v>
      </c>
      <c r="G111" t="s">
        <v>19</v>
      </c>
      <c r="H111">
        <v>26</v>
      </c>
      <c r="I111">
        <v>0</v>
      </c>
      <c r="J111" t="s">
        <v>30</v>
      </c>
      <c r="K111" t="s">
        <v>31</v>
      </c>
      <c r="L111" t="s">
        <v>159</v>
      </c>
      <c r="M111" t="b">
        <v>0</v>
      </c>
      <c r="P111"/>
    </row>
    <row r="112" spans="1:17">
      <c r="A112" t="s">
        <v>0</v>
      </c>
      <c r="B112" s="152">
        <v>218401396</v>
      </c>
      <c r="C112">
        <v>56.504100149999999</v>
      </c>
      <c r="D112">
        <v>38.712570450000001</v>
      </c>
      <c r="E112" s="152" t="s">
        <v>88</v>
      </c>
      <c r="F112" t="s">
        <v>4</v>
      </c>
      <c r="G112" t="s">
        <v>19</v>
      </c>
      <c r="H112">
        <v>25</v>
      </c>
      <c r="I112">
        <v>0</v>
      </c>
      <c r="J112" t="s">
        <v>30</v>
      </c>
      <c r="K112" t="s">
        <v>31</v>
      </c>
      <c r="L112" t="s">
        <v>573</v>
      </c>
      <c r="M112" t="b">
        <v>0</v>
      </c>
      <c r="N112" t="s">
        <v>145</v>
      </c>
      <c r="O112">
        <v>4</v>
      </c>
      <c r="P112">
        <v>4</v>
      </c>
      <c r="Q112" t="s">
        <v>546</v>
      </c>
    </row>
    <row r="113" spans="1:16">
      <c r="A113" t="s">
        <v>0</v>
      </c>
      <c r="B113" s="152">
        <v>222565232</v>
      </c>
      <c r="C113">
        <v>56.654696200000004</v>
      </c>
      <c r="D113">
        <v>38.700646149999997</v>
      </c>
      <c r="E113" s="152" t="s">
        <v>89</v>
      </c>
      <c r="F113" t="s">
        <v>3</v>
      </c>
      <c r="G113" t="s">
        <v>19</v>
      </c>
      <c r="H113">
        <v>17</v>
      </c>
      <c r="I113">
        <v>0</v>
      </c>
      <c r="J113" t="s">
        <v>30</v>
      </c>
      <c r="K113" t="s">
        <v>31</v>
      </c>
      <c r="L113" t="s">
        <v>159</v>
      </c>
      <c r="M113" t="b">
        <v>0</v>
      </c>
      <c r="P113"/>
    </row>
    <row r="114" spans="1:16">
      <c r="A114" t="s">
        <v>0</v>
      </c>
      <c r="B114" s="152">
        <v>223222090</v>
      </c>
      <c r="C114">
        <v>56.3843885</v>
      </c>
      <c r="D114">
        <v>38.584219050000002</v>
      </c>
      <c r="E114" t="s">
        <v>72</v>
      </c>
      <c r="F114" t="s">
        <v>3</v>
      </c>
      <c r="G114" t="s">
        <v>19</v>
      </c>
      <c r="H114">
        <v>13</v>
      </c>
      <c r="I114">
        <v>0</v>
      </c>
      <c r="M114" t="b">
        <v>0</v>
      </c>
      <c r="P114"/>
    </row>
    <row r="115" spans="1:16">
      <c r="A115" t="s">
        <v>0</v>
      </c>
      <c r="B115" s="152">
        <v>224055349</v>
      </c>
      <c r="C115">
        <v>56.25023925</v>
      </c>
      <c r="D115">
        <v>38.796333799999999</v>
      </c>
      <c r="E115" s="152" t="s">
        <v>519</v>
      </c>
      <c r="F115" t="s">
        <v>4</v>
      </c>
      <c r="G115" t="s">
        <v>19</v>
      </c>
      <c r="H115">
        <v>14</v>
      </c>
      <c r="I115">
        <v>0</v>
      </c>
      <c r="J115" t="s">
        <v>131</v>
      </c>
      <c r="K115" t="s">
        <v>132</v>
      </c>
      <c r="L115" t="s">
        <v>149</v>
      </c>
      <c r="M115" t="b">
        <v>0</v>
      </c>
      <c r="P115"/>
    </row>
    <row r="116" spans="1:16">
      <c r="A116" t="s">
        <v>0</v>
      </c>
      <c r="B116" s="152">
        <v>231493212</v>
      </c>
      <c r="C116">
        <v>56.034956100000002</v>
      </c>
      <c r="D116">
        <v>38.942739450000005</v>
      </c>
      <c r="E116" s="152" t="s">
        <v>90</v>
      </c>
      <c r="F116" t="s">
        <v>4</v>
      </c>
      <c r="G116" t="s">
        <v>19</v>
      </c>
      <c r="H116">
        <v>25</v>
      </c>
      <c r="I116">
        <v>0</v>
      </c>
      <c r="J116" t="s">
        <v>30</v>
      </c>
      <c r="K116" t="s">
        <v>31</v>
      </c>
      <c r="L116" t="s">
        <v>162</v>
      </c>
      <c r="M116" t="b">
        <v>0</v>
      </c>
      <c r="P116"/>
    </row>
    <row r="117" spans="1:16">
      <c r="A117" t="s">
        <v>0</v>
      </c>
      <c r="B117" s="152">
        <v>231602411</v>
      </c>
      <c r="C117">
        <v>56.001789900000006</v>
      </c>
      <c r="D117">
        <v>38.928645400000001</v>
      </c>
      <c r="E117" s="152" t="s">
        <v>91</v>
      </c>
      <c r="F117" t="s">
        <v>4</v>
      </c>
      <c r="G117" t="s">
        <v>19</v>
      </c>
      <c r="H117">
        <v>20</v>
      </c>
      <c r="I117">
        <v>0</v>
      </c>
      <c r="J117" t="s">
        <v>30</v>
      </c>
      <c r="K117" t="s">
        <v>31</v>
      </c>
      <c r="L117" t="s">
        <v>163</v>
      </c>
      <c r="M117" t="b">
        <v>0</v>
      </c>
      <c r="P117"/>
    </row>
    <row r="118" spans="1:16">
      <c r="A118" t="s">
        <v>0</v>
      </c>
      <c r="B118" s="152">
        <v>236152997</v>
      </c>
      <c r="C118">
        <v>56.220621249999994</v>
      </c>
      <c r="D118">
        <v>38.758977299999998</v>
      </c>
      <c r="E118" s="152" t="s">
        <v>531</v>
      </c>
      <c r="F118" t="s">
        <v>4</v>
      </c>
      <c r="G118" t="s">
        <v>20</v>
      </c>
      <c r="H118">
        <v>8</v>
      </c>
      <c r="I118">
        <v>0</v>
      </c>
      <c r="J118" t="s">
        <v>30</v>
      </c>
      <c r="K118" t="s">
        <v>31</v>
      </c>
      <c r="L118" t="s">
        <v>160</v>
      </c>
      <c r="M118" t="b">
        <v>0</v>
      </c>
      <c r="P118"/>
    </row>
    <row r="119" spans="1:16">
      <c r="A119" t="s">
        <v>0</v>
      </c>
      <c r="B119" s="152">
        <v>237308152</v>
      </c>
      <c r="C119">
        <v>56.736891700000001</v>
      </c>
      <c r="D119">
        <v>38.85950725</v>
      </c>
      <c r="E119" t="s">
        <v>2</v>
      </c>
      <c r="F119" t="s">
        <v>580</v>
      </c>
      <c r="H119">
        <v>6</v>
      </c>
      <c r="I119">
        <v>0</v>
      </c>
      <c r="M119" t="b">
        <v>0</v>
      </c>
      <c r="P119"/>
    </row>
    <row r="120" spans="1:16">
      <c r="A120" t="s">
        <v>0</v>
      </c>
      <c r="B120" s="152">
        <v>238909939</v>
      </c>
      <c r="C120">
        <v>56.70424105</v>
      </c>
      <c r="D120">
        <v>38.827088250000003</v>
      </c>
      <c r="E120" s="152" t="s">
        <v>92</v>
      </c>
      <c r="F120" t="s">
        <v>3</v>
      </c>
      <c r="G120" t="s">
        <v>19</v>
      </c>
      <c r="H120">
        <v>23</v>
      </c>
      <c r="I120">
        <v>0</v>
      </c>
      <c r="J120" t="s">
        <v>30</v>
      </c>
      <c r="K120" t="s">
        <v>31</v>
      </c>
      <c r="L120" t="s">
        <v>162</v>
      </c>
      <c r="M120" t="b">
        <v>0</v>
      </c>
      <c r="P120"/>
    </row>
    <row r="121" spans="1:16">
      <c r="A121" t="s">
        <v>0</v>
      </c>
      <c r="B121" s="152">
        <v>238945322</v>
      </c>
      <c r="C121">
        <v>56.721991700000004</v>
      </c>
      <c r="D121">
        <v>38.781262349999999</v>
      </c>
      <c r="E121" s="152" t="s">
        <v>93</v>
      </c>
      <c r="F121" t="s">
        <v>4</v>
      </c>
      <c r="G121" t="s">
        <v>19</v>
      </c>
      <c r="H121">
        <v>19</v>
      </c>
      <c r="I121">
        <v>0</v>
      </c>
      <c r="J121" t="s">
        <v>131</v>
      </c>
      <c r="K121" t="s">
        <v>31</v>
      </c>
      <c r="L121" t="s">
        <v>162</v>
      </c>
      <c r="M121" t="b">
        <v>0</v>
      </c>
      <c r="P121"/>
    </row>
    <row r="122" spans="1:16">
      <c r="A122" t="s">
        <v>0</v>
      </c>
      <c r="B122" s="152">
        <v>246056432</v>
      </c>
      <c r="C122">
        <v>56.529489400000003</v>
      </c>
      <c r="D122">
        <v>38.029196349999999</v>
      </c>
      <c r="E122" s="152" t="s">
        <v>558</v>
      </c>
      <c r="F122" t="s">
        <v>4</v>
      </c>
      <c r="G122" t="s">
        <v>567</v>
      </c>
      <c r="H122">
        <v>22</v>
      </c>
      <c r="I122">
        <v>0</v>
      </c>
      <c r="L122" t="s">
        <v>149</v>
      </c>
      <c r="M122" t="b">
        <v>0</v>
      </c>
      <c r="P122"/>
    </row>
    <row r="123" spans="1:16">
      <c r="A123" t="s">
        <v>0</v>
      </c>
      <c r="B123" s="152">
        <v>248167445</v>
      </c>
      <c r="C123">
        <v>56.289822549999997</v>
      </c>
      <c r="D123">
        <v>38.091546100000002</v>
      </c>
      <c r="E123" t="s">
        <v>2</v>
      </c>
      <c r="F123" t="s">
        <v>581</v>
      </c>
      <c r="H123">
        <v>5</v>
      </c>
      <c r="I123">
        <v>0</v>
      </c>
      <c r="M123" t="b">
        <v>0</v>
      </c>
      <c r="P123"/>
    </row>
    <row r="124" spans="1:16">
      <c r="A124" t="s">
        <v>0</v>
      </c>
      <c r="B124" s="152">
        <v>252051070</v>
      </c>
      <c r="C124">
        <v>56.172186100000005</v>
      </c>
      <c r="D124">
        <v>38.772917100000001</v>
      </c>
      <c r="E124" s="152" t="s">
        <v>74</v>
      </c>
      <c r="F124" t="s">
        <v>4</v>
      </c>
      <c r="G124" t="s">
        <v>19</v>
      </c>
      <c r="H124">
        <v>22</v>
      </c>
      <c r="I124">
        <v>0</v>
      </c>
      <c r="J124" t="s">
        <v>30</v>
      </c>
      <c r="K124" t="s">
        <v>31</v>
      </c>
      <c r="L124" t="s">
        <v>159</v>
      </c>
      <c r="M124" t="b">
        <v>0</v>
      </c>
      <c r="P124"/>
    </row>
    <row r="125" spans="1:16">
      <c r="A125" t="s">
        <v>0</v>
      </c>
      <c r="B125" s="152">
        <v>255947708</v>
      </c>
      <c r="C125">
        <v>56.554759099999998</v>
      </c>
      <c r="D125">
        <v>38.026854700000001</v>
      </c>
      <c r="E125" s="152" t="s">
        <v>76</v>
      </c>
      <c r="F125" t="s">
        <v>4</v>
      </c>
      <c r="G125" t="s">
        <v>19</v>
      </c>
      <c r="H125">
        <v>30</v>
      </c>
      <c r="I125">
        <v>0</v>
      </c>
      <c r="J125" t="s">
        <v>30</v>
      </c>
      <c r="K125" t="s">
        <v>31</v>
      </c>
      <c r="L125" t="s">
        <v>159</v>
      </c>
      <c r="M125" t="b">
        <v>0</v>
      </c>
      <c r="P125"/>
    </row>
    <row r="126" spans="1:16">
      <c r="A126" t="s">
        <v>0</v>
      </c>
      <c r="B126" s="152">
        <v>256100772</v>
      </c>
      <c r="C126">
        <v>56.7316608</v>
      </c>
      <c r="D126">
        <v>38.838757600000001</v>
      </c>
      <c r="E126" s="152" t="s">
        <v>529</v>
      </c>
      <c r="F126" t="s">
        <v>4</v>
      </c>
      <c r="G126" t="s">
        <v>19</v>
      </c>
      <c r="H126">
        <v>12</v>
      </c>
      <c r="I126">
        <v>0</v>
      </c>
      <c r="J126" t="s">
        <v>30</v>
      </c>
      <c r="K126" t="s">
        <v>31</v>
      </c>
      <c r="L126" t="s">
        <v>160</v>
      </c>
      <c r="M126" t="b">
        <v>0</v>
      </c>
      <c r="P126"/>
    </row>
    <row r="127" spans="1:16">
      <c r="A127" t="s">
        <v>0</v>
      </c>
      <c r="B127" s="152">
        <v>260266920</v>
      </c>
      <c r="C127">
        <v>56.494844149999999</v>
      </c>
      <c r="D127">
        <v>38.179481850000002</v>
      </c>
      <c r="E127" s="152" t="s">
        <v>72</v>
      </c>
      <c r="F127" t="s">
        <v>4</v>
      </c>
      <c r="G127" t="s">
        <v>19</v>
      </c>
      <c r="H127">
        <v>21</v>
      </c>
      <c r="I127">
        <v>0</v>
      </c>
      <c r="J127" t="s">
        <v>30</v>
      </c>
      <c r="K127" t="s">
        <v>31</v>
      </c>
      <c r="L127" t="s">
        <v>160</v>
      </c>
      <c r="M127" t="b">
        <v>0</v>
      </c>
      <c r="P127"/>
    </row>
    <row r="128" spans="1:16">
      <c r="A128" t="s">
        <v>0</v>
      </c>
      <c r="B128" s="152">
        <v>260713943</v>
      </c>
      <c r="C128">
        <v>56.894338550000001</v>
      </c>
      <c r="D128">
        <v>38.630087849999995</v>
      </c>
      <c r="E128" s="152" t="s">
        <v>532</v>
      </c>
      <c r="F128" t="s">
        <v>3</v>
      </c>
      <c r="G128" t="s">
        <v>567</v>
      </c>
      <c r="H128">
        <v>18</v>
      </c>
      <c r="I128">
        <v>0</v>
      </c>
      <c r="L128" t="s">
        <v>162</v>
      </c>
      <c r="M128" t="b">
        <v>0</v>
      </c>
      <c r="P128"/>
    </row>
    <row r="129" spans="1:17">
      <c r="A129" t="s">
        <v>0</v>
      </c>
      <c r="B129" s="152">
        <v>261706519</v>
      </c>
      <c r="C129">
        <v>56.39350975</v>
      </c>
      <c r="D129">
        <v>38.220245550000001</v>
      </c>
      <c r="E129" s="152" t="s">
        <v>74</v>
      </c>
      <c r="F129" t="s">
        <v>4</v>
      </c>
      <c r="G129" t="s">
        <v>19</v>
      </c>
      <c r="H129">
        <v>22</v>
      </c>
      <c r="I129">
        <v>0</v>
      </c>
      <c r="J129" t="s">
        <v>30</v>
      </c>
      <c r="K129" t="s">
        <v>31</v>
      </c>
      <c r="L129" t="s">
        <v>162</v>
      </c>
      <c r="M129" t="b">
        <v>0</v>
      </c>
      <c r="P129"/>
    </row>
    <row r="130" spans="1:17">
      <c r="A130" t="s">
        <v>0</v>
      </c>
      <c r="B130" s="152">
        <v>267908304</v>
      </c>
      <c r="C130">
        <v>56.383685900000003</v>
      </c>
      <c r="D130">
        <v>38.459403699999996</v>
      </c>
      <c r="E130" t="s">
        <v>2</v>
      </c>
      <c r="F130" t="s">
        <v>580</v>
      </c>
      <c r="H130">
        <v>8</v>
      </c>
      <c r="I130">
        <v>0</v>
      </c>
      <c r="M130" t="b">
        <v>0</v>
      </c>
      <c r="P130"/>
    </row>
    <row r="131" spans="1:17">
      <c r="A131" t="s">
        <v>0</v>
      </c>
      <c r="B131" s="152">
        <v>270300861</v>
      </c>
      <c r="C131">
        <v>56.023782699999998</v>
      </c>
      <c r="D131">
        <v>38.189871150000002</v>
      </c>
      <c r="E131" s="152" t="s">
        <v>90</v>
      </c>
      <c r="F131" t="s">
        <v>4</v>
      </c>
      <c r="G131" t="s">
        <v>19</v>
      </c>
      <c r="H131">
        <v>18</v>
      </c>
      <c r="I131">
        <v>0</v>
      </c>
      <c r="J131" t="s">
        <v>30</v>
      </c>
      <c r="K131" t="s">
        <v>31</v>
      </c>
      <c r="L131" t="s">
        <v>160</v>
      </c>
      <c r="M131" t="b">
        <v>0</v>
      </c>
      <c r="P131"/>
    </row>
    <row r="132" spans="1:17">
      <c r="A132" t="s">
        <v>0</v>
      </c>
      <c r="B132" s="152">
        <v>274667401</v>
      </c>
      <c r="C132">
        <v>56.307856900000004</v>
      </c>
      <c r="D132">
        <v>38.381020700000001</v>
      </c>
      <c r="E132" s="152" t="s">
        <v>80</v>
      </c>
      <c r="F132" t="s">
        <v>4</v>
      </c>
      <c r="G132" t="s">
        <v>19</v>
      </c>
      <c r="H132">
        <v>21</v>
      </c>
      <c r="I132">
        <v>0</v>
      </c>
      <c r="J132" t="s">
        <v>505</v>
      </c>
      <c r="K132" t="s">
        <v>31</v>
      </c>
      <c r="L132" t="s">
        <v>149</v>
      </c>
      <c r="M132" t="b">
        <v>0</v>
      </c>
      <c r="P132"/>
    </row>
    <row r="133" spans="1:17">
      <c r="A133" t="s">
        <v>0</v>
      </c>
      <c r="B133" s="152">
        <v>274789572</v>
      </c>
      <c r="C133">
        <v>56.011307549999998</v>
      </c>
      <c r="D133">
        <v>38.304367400000004</v>
      </c>
      <c r="E133" s="152" t="s">
        <v>49</v>
      </c>
      <c r="F133" t="s">
        <v>4</v>
      </c>
      <c r="G133" t="s">
        <v>19</v>
      </c>
      <c r="H133">
        <v>19</v>
      </c>
      <c r="I133">
        <v>0</v>
      </c>
      <c r="L133" t="s">
        <v>161</v>
      </c>
      <c r="M133" t="b">
        <v>0</v>
      </c>
      <c r="P133"/>
    </row>
    <row r="134" spans="1:17">
      <c r="A134" t="s">
        <v>0</v>
      </c>
      <c r="B134" s="152">
        <v>277544964</v>
      </c>
      <c r="C134">
        <v>56.30967905</v>
      </c>
      <c r="D134">
        <v>38.130094700000001</v>
      </c>
      <c r="E134" s="152" t="s">
        <v>79</v>
      </c>
      <c r="F134" t="s">
        <v>4</v>
      </c>
      <c r="G134" t="s">
        <v>19</v>
      </c>
      <c r="H134">
        <v>11</v>
      </c>
      <c r="I134">
        <v>11</v>
      </c>
      <c r="J134" t="s">
        <v>520</v>
      </c>
      <c r="K134" t="s">
        <v>31</v>
      </c>
      <c r="L134" t="s">
        <v>151</v>
      </c>
      <c r="M134" t="b">
        <v>1</v>
      </c>
      <c r="N134" t="s">
        <v>145</v>
      </c>
      <c r="O134">
        <v>5</v>
      </c>
      <c r="P134">
        <v>3</v>
      </c>
      <c r="Q134" t="s">
        <v>545</v>
      </c>
    </row>
    <row r="135" spans="1:17">
      <c r="A135" t="s">
        <v>0</v>
      </c>
      <c r="B135" s="152">
        <v>277544965</v>
      </c>
      <c r="C135">
        <v>56.310164700000001</v>
      </c>
      <c r="D135">
        <v>38.131829549999999</v>
      </c>
      <c r="E135" s="152" t="s">
        <v>95</v>
      </c>
      <c r="F135" t="s">
        <v>4</v>
      </c>
      <c r="G135" t="s">
        <v>19</v>
      </c>
      <c r="H135">
        <v>18</v>
      </c>
      <c r="I135">
        <v>35</v>
      </c>
      <c r="J135" t="s">
        <v>147</v>
      </c>
      <c r="K135" t="s">
        <v>31</v>
      </c>
      <c r="L135" t="s">
        <v>151</v>
      </c>
      <c r="M135" t="b">
        <v>1</v>
      </c>
      <c r="N135" t="s">
        <v>145</v>
      </c>
      <c r="O135">
        <v>5</v>
      </c>
      <c r="P135">
        <v>4</v>
      </c>
      <c r="Q135" t="s">
        <v>547</v>
      </c>
    </row>
    <row r="136" spans="1:17">
      <c r="A136" t="s">
        <v>0</v>
      </c>
      <c r="B136" s="152">
        <v>277544966</v>
      </c>
      <c r="C136">
        <v>56.310221200000001</v>
      </c>
      <c r="D136">
        <v>38.130107050000007</v>
      </c>
      <c r="E136" s="152" t="s">
        <v>96</v>
      </c>
      <c r="F136" t="s">
        <v>11</v>
      </c>
      <c r="G136" t="s">
        <v>20</v>
      </c>
      <c r="H136">
        <v>7</v>
      </c>
      <c r="I136">
        <v>21.5</v>
      </c>
      <c r="J136" t="s">
        <v>30</v>
      </c>
      <c r="K136" t="s">
        <v>31</v>
      </c>
      <c r="L136" t="s">
        <v>151</v>
      </c>
      <c r="M136" t="b">
        <v>1</v>
      </c>
      <c r="P136"/>
    </row>
    <row r="137" spans="1:17">
      <c r="A137" t="s">
        <v>0</v>
      </c>
      <c r="B137" s="152">
        <v>280790880</v>
      </c>
      <c r="C137">
        <v>56.915014249999999</v>
      </c>
      <c r="D137">
        <v>38.141853449999999</v>
      </c>
      <c r="E137" s="152" t="s">
        <v>530</v>
      </c>
      <c r="F137" t="s">
        <v>4</v>
      </c>
      <c r="G137" t="s">
        <v>567</v>
      </c>
      <c r="H137">
        <v>27</v>
      </c>
      <c r="I137">
        <v>0</v>
      </c>
      <c r="L137" t="s">
        <v>162</v>
      </c>
      <c r="M137" t="b">
        <v>0</v>
      </c>
      <c r="P137"/>
    </row>
    <row r="138" spans="1:17">
      <c r="A138" t="s">
        <v>0</v>
      </c>
      <c r="B138" s="152">
        <v>281521668</v>
      </c>
      <c r="C138">
        <v>56.400304650000002</v>
      </c>
      <c r="D138">
        <v>38.738430000000001</v>
      </c>
      <c r="E138" s="152" t="s">
        <v>97</v>
      </c>
      <c r="F138" t="s">
        <v>4</v>
      </c>
      <c r="G138" t="s">
        <v>19</v>
      </c>
      <c r="H138">
        <v>13</v>
      </c>
      <c r="I138">
        <v>0</v>
      </c>
      <c r="J138" t="s">
        <v>30</v>
      </c>
      <c r="K138" t="s">
        <v>31</v>
      </c>
      <c r="L138" t="s">
        <v>573</v>
      </c>
      <c r="M138" t="b">
        <v>0</v>
      </c>
      <c r="N138" t="s">
        <v>145</v>
      </c>
      <c r="O138">
        <v>4</v>
      </c>
      <c r="P138">
        <v>4</v>
      </c>
      <c r="Q138" t="s">
        <v>546</v>
      </c>
    </row>
    <row r="139" spans="1:17">
      <c r="A139" t="s">
        <v>0</v>
      </c>
      <c r="B139" s="152">
        <v>282199866</v>
      </c>
      <c r="C139">
        <v>56.354295450000002</v>
      </c>
      <c r="D139">
        <v>38.115212499999998</v>
      </c>
      <c r="E139" s="152" t="s">
        <v>63</v>
      </c>
      <c r="F139" t="s">
        <v>4</v>
      </c>
      <c r="G139" t="s">
        <v>19</v>
      </c>
      <c r="H139">
        <v>17</v>
      </c>
      <c r="I139">
        <v>0</v>
      </c>
      <c r="J139" t="s">
        <v>30</v>
      </c>
      <c r="K139" t="s">
        <v>31</v>
      </c>
      <c r="L139" t="s">
        <v>574</v>
      </c>
      <c r="M139" t="b">
        <v>0</v>
      </c>
      <c r="P139"/>
    </row>
    <row r="140" spans="1:17">
      <c r="A140" t="s">
        <v>0</v>
      </c>
      <c r="B140" s="152">
        <v>282205967</v>
      </c>
      <c r="C140">
        <v>56.391135050000003</v>
      </c>
      <c r="D140">
        <v>38.102672800000001</v>
      </c>
      <c r="E140" s="152" t="s">
        <v>559</v>
      </c>
      <c r="F140" t="s">
        <v>4</v>
      </c>
      <c r="G140" t="s">
        <v>19</v>
      </c>
      <c r="H140">
        <v>16</v>
      </c>
      <c r="I140">
        <v>0</v>
      </c>
      <c r="J140" t="s">
        <v>30</v>
      </c>
      <c r="K140" t="s">
        <v>31</v>
      </c>
      <c r="L140" t="s">
        <v>162</v>
      </c>
      <c r="M140" t="b">
        <v>0</v>
      </c>
      <c r="P140"/>
    </row>
    <row r="141" spans="1:17">
      <c r="A141" t="s">
        <v>0</v>
      </c>
      <c r="B141" s="152">
        <v>294497784</v>
      </c>
      <c r="C141">
        <v>56.396160949999995</v>
      </c>
      <c r="D141">
        <v>38.728635749999995</v>
      </c>
      <c r="E141" s="152" t="s">
        <v>99</v>
      </c>
      <c r="F141" t="s">
        <v>4</v>
      </c>
      <c r="G141" t="s">
        <v>19</v>
      </c>
      <c r="H141">
        <v>38</v>
      </c>
      <c r="I141">
        <v>0</v>
      </c>
      <c r="J141" t="s">
        <v>30</v>
      </c>
      <c r="K141" t="s">
        <v>31</v>
      </c>
      <c r="L141" t="s">
        <v>163</v>
      </c>
      <c r="M141" t="b">
        <v>0</v>
      </c>
      <c r="P141"/>
    </row>
    <row r="142" spans="1:17">
      <c r="A142" t="s">
        <v>0</v>
      </c>
      <c r="B142" s="152">
        <v>294499503</v>
      </c>
      <c r="C142">
        <v>56.443145450000003</v>
      </c>
      <c r="D142">
        <v>38.96059425</v>
      </c>
      <c r="E142" s="152" t="s">
        <v>78</v>
      </c>
      <c r="F142" t="s">
        <v>4</v>
      </c>
      <c r="G142" t="s">
        <v>567</v>
      </c>
      <c r="H142">
        <v>16</v>
      </c>
      <c r="I142">
        <v>0</v>
      </c>
      <c r="J142" t="s">
        <v>131</v>
      </c>
      <c r="K142" t="s">
        <v>132</v>
      </c>
      <c r="L142" t="s">
        <v>149</v>
      </c>
      <c r="M142" t="b">
        <v>0</v>
      </c>
      <c r="P142"/>
    </row>
    <row r="143" spans="1:17">
      <c r="A143" t="s">
        <v>0</v>
      </c>
      <c r="B143" s="152">
        <v>294500219</v>
      </c>
      <c r="C143">
        <v>56.521054100000001</v>
      </c>
      <c r="D143">
        <v>38.781554399999997</v>
      </c>
      <c r="E143" s="152" t="s">
        <v>100</v>
      </c>
      <c r="F143" t="s">
        <v>4</v>
      </c>
      <c r="G143" t="s">
        <v>19</v>
      </c>
      <c r="H143">
        <v>24</v>
      </c>
      <c r="I143">
        <v>0</v>
      </c>
      <c r="L143" t="s">
        <v>162</v>
      </c>
      <c r="M143" t="b">
        <v>0</v>
      </c>
      <c r="P143"/>
    </row>
    <row r="144" spans="1:17">
      <c r="A144" t="s">
        <v>0</v>
      </c>
      <c r="B144" s="152">
        <v>294513633</v>
      </c>
      <c r="C144">
        <v>56.098636900000002</v>
      </c>
      <c r="D144">
        <v>38.616937199999995</v>
      </c>
      <c r="E144" s="152" t="s">
        <v>49</v>
      </c>
      <c r="F144" t="s">
        <v>4</v>
      </c>
      <c r="G144" t="s">
        <v>19</v>
      </c>
      <c r="H144">
        <v>36</v>
      </c>
      <c r="I144">
        <v>0</v>
      </c>
      <c r="J144" t="s">
        <v>30</v>
      </c>
      <c r="K144" t="s">
        <v>31</v>
      </c>
      <c r="L144" t="s">
        <v>162</v>
      </c>
      <c r="M144" t="b">
        <v>0</v>
      </c>
      <c r="P144"/>
    </row>
    <row r="145" spans="1:16">
      <c r="A145" t="s">
        <v>0</v>
      </c>
      <c r="B145" s="152">
        <v>294519938</v>
      </c>
      <c r="C145">
        <v>56.359086849999997</v>
      </c>
      <c r="D145">
        <v>38.428134450000002</v>
      </c>
      <c r="E145" s="152" t="s">
        <v>101</v>
      </c>
      <c r="F145" t="s">
        <v>4</v>
      </c>
      <c r="G145" t="s">
        <v>19</v>
      </c>
      <c r="H145">
        <v>24</v>
      </c>
      <c r="I145">
        <v>0</v>
      </c>
      <c r="J145" t="s">
        <v>131</v>
      </c>
      <c r="K145" t="s">
        <v>132</v>
      </c>
      <c r="L145" t="s">
        <v>163</v>
      </c>
      <c r="M145" t="b">
        <v>0</v>
      </c>
      <c r="P145"/>
    </row>
    <row r="146" spans="1:16">
      <c r="A146" t="s">
        <v>0</v>
      </c>
      <c r="B146" s="152">
        <v>294519939</v>
      </c>
      <c r="C146">
        <v>56.359543450000004</v>
      </c>
      <c r="D146">
        <v>38.428398450000003</v>
      </c>
      <c r="E146" s="152" t="s">
        <v>560</v>
      </c>
      <c r="F146" t="s">
        <v>4</v>
      </c>
      <c r="G146" t="s">
        <v>19</v>
      </c>
      <c r="H146">
        <v>15</v>
      </c>
      <c r="I146">
        <v>0</v>
      </c>
      <c r="J146" t="s">
        <v>131</v>
      </c>
      <c r="K146" t="s">
        <v>132</v>
      </c>
      <c r="L146" t="s">
        <v>161</v>
      </c>
      <c r="M146" t="b">
        <v>0</v>
      </c>
      <c r="P146"/>
    </row>
    <row r="147" spans="1:16">
      <c r="A147" t="s">
        <v>0</v>
      </c>
      <c r="B147" s="152">
        <v>294519940</v>
      </c>
      <c r="C147">
        <v>56.35838425</v>
      </c>
      <c r="D147">
        <v>38.428190049999998</v>
      </c>
      <c r="E147" s="152" t="s">
        <v>561</v>
      </c>
      <c r="F147" t="s">
        <v>4</v>
      </c>
      <c r="G147" t="s">
        <v>19</v>
      </c>
      <c r="H147">
        <v>22</v>
      </c>
      <c r="I147">
        <v>0</v>
      </c>
      <c r="J147" t="s">
        <v>131</v>
      </c>
      <c r="K147" t="s">
        <v>31</v>
      </c>
      <c r="L147" t="s">
        <v>163</v>
      </c>
      <c r="M147" t="b">
        <v>0</v>
      </c>
      <c r="P147"/>
    </row>
    <row r="148" spans="1:16">
      <c r="A148" t="s">
        <v>0</v>
      </c>
      <c r="B148" s="152">
        <v>294520072</v>
      </c>
      <c r="C148">
        <v>56.378947449999998</v>
      </c>
      <c r="D148">
        <v>38.972697600000004</v>
      </c>
      <c r="E148" s="152" t="s">
        <v>94</v>
      </c>
      <c r="F148" t="s">
        <v>4</v>
      </c>
      <c r="G148" t="s">
        <v>19</v>
      </c>
      <c r="H148">
        <v>21</v>
      </c>
      <c r="I148">
        <v>0</v>
      </c>
      <c r="J148" t="s">
        <v>30</v>
      </c>
      <c r="K148" t="s">
        <v>31</v>
      </c>
      <c r="L148" t="s">
        <v>163</v>
      </c>
      <c r="M148" t="b">
        <v>0</v>
      </c>
      <c r="P148"/>
    </row>
    <row r="149" spans="1:16">
      <c r="A149" t="s">
        <v>0</v>
      </c>
      <c r="B149" s="152">
        <v>294521817</v>
      </c>
      <c r="C149">
        <v>56.309430200000001</v>
      </c>
      <c r="D149">
        <v>38.472323099999997</v>
      </c>
      <c r="E149" s="152" t="s">
        <v>83</v>
      </c>
      <c r="F149" t="s">
        <v>4</v>
      </c>
      <c r="G149" t="s">
        <v>19</v>
      </c>
      <c r="H149">
        <v>16</v>
      </c>
      <c r="I149">
        <v>0</v>
      </c>
      <c r="J149" t="s">
        <v>30</v>
      </c>
      <c r="K149" t="s">
        <v>31</v>
      </c>
      <c r="L149" t="s">
        <v>574</v>
      </c>
      <c r="M149" t="b">
        <v>0</v>
      </c>
      <c r="P149"/>
    </row>
    <row r="150" spans="1:16">
      <c r="A150" t="s">
        <v>0</v>
      </c>
      <c r="B150" s="152">
        <v>294542682</v>
      </c>
      <c r="C150">
        <v>56.095979450000002</v>
      </c>
      <c r="D150">
        <v>38.867126300000002</v>
      </c>
      <c r="E150" s="152" t="s">
        <v>62</v>
      </c>
      <c r="F150" t="s">
        <v>4</v>
      </c>
      <c r="G150" t="s">
        <v>19</v>
      </c>
      <c r="H150">
        <v>26</v>
      </c>
      <c r="I150">
        <v>0</v>
      </c>
      <c r="J150" t="s">
        <v>562</v>
      </c>
      <c r="K150" t="s">
        <v>31</v>
      </c>
      <c r="L150" t="s">
        <v>149</v>
      </c>
      <c r="M150" t="b">
        <v>0</v>
      </c>
      <c r="P150"/>
    </row>
    <row r="151" spans="1:16">
      <c r="A151" t="s">
        <v>0</v>
      </c>
      <c r="B151" s="152">
        <v>294565422</v>
      </c>
      <c r="C151">
        <v>56.413059349999997</v>
      </c>
      <c r="D151">
        <v>38.939936600000003</v>
      </c>
      <c r="E151" s="152" t="s">
        <v>49</v>
      </c>
      <c r="F151" t="s">
        <v>4</v>
      </c>
      <c r="G151" t="s">
        <v>567</v>
      </c>
      <c r="H151">
        <v>15</v>
      </c>
      <c r="I151">
        <v>0</v>
      </c>
      <c r="J151" t="s">
        <v>131</v>
      </c>
      <c r="K151" t="s">
        <v>132</v>
      </c>
      <c r="L151" t="s">
        <v>163</v>
      </c>
      <c r="M151" t="b">
        <v>0</v>
      </c>
      <c r="P151"/>
    </row>
    <row r="152" spans="1:16">
      <c r="A152" t="s">
        <v>0</v>
      </c>
      <c r="B152" s="152">
        <v>294637887</v>
      </c>
      <c r="C152">
        <v>56.410194500000003</v>
      </c>
      <c r="D152">
        <v>38.842033350000001</v>
      </c>
      <c r="E152" s="152" t="s">
        <v>74</v>
      </c>
      <c r="F152" t="s">
        <v>4</v>
      </c>
      <c r="G152" t="s">
        <v>19</v>
      </c>
      <c r="H152">
        <v>17</v>
      </c>
      <c r="I152">
        <v>0</v>
      </c>
      <c r="L152" t="s">
        <v>159</v>
      </c>
      <c r="M152" t="b">
        <v>0</v>
      </c>
      <c r="P152"/>
    </row>
    <row r="153" spans="1:16">
      <c r="A153" t="s">
        <v>0</v>
      </c>
      <c r="B153" s="152">
        <v>294711941</v>
      </c>
      <c r="C153">
        <v>56.269052350000003</v>
      </c>
      <c r="D153">
        <v>38.345001750000002</v>
      </c>
      <c r="E153" s="152" t="s">
        <v>103</v>
      </c>
      <c r="F153" t="s">
        <v>4</v>
      </c>
      <c r="G153" t="s">
        <v>19</v>
      </c>
      <c r="H153">
        <v>14</v>
      </c>
      <c r="I153">
        <v>0</v>
      </c>
      <c r="K153" t="s">
        <v>29</v>
      </c>
      <c r="L153" t="s">
        <v>160</v>
      </c>
      <c r="M153" t="b">
        <v>0</v>
      </c>
      <c r="P153"/>
    </row>
    <row r="154" spans="1:16">
      <c r="A154" t="s">
        <v>0</v>
      </c>
      <c r="B154" s="152">
        <v>294711942</v>
      </c>
      <c r="C154">
        <v>56.271960399999998</v>
      </c>
      <c r="D154">
        <v>38.341507649999997</v>
      </c>
      <c r="E154" s="152" t="s">
        <v>84</v>
      </c>
      <c r="F154" t="s">
        <v>4</v>
      </c>
      <c r="G154" t="s">
        <v>19</v>
      </c>
      <c r="H154">
        <v>14</v>
      </c>
      <c r="I154">
        <v>0</v>
      </c>
      <c r="K154" t="s">
        <v>29</v>
      </c>
      <c r="L154" t="s">
        <v>160</v>
      </c>
      <c r="M154" t="b">
        <v>0</v>
      </c>
      <c r="P154"/>
    </row>
    <row r="155" spans="1:16">
      <c r="A155" t="s">
        <v>0</v>
      </c>
      <c r="B155" s="152">
        <v>294711943</v>
      </c>
      <c r="C155">
        <v>56.2705196</v>
      </c>
      <c r="D155">
        <v>38.343668399999999</v>
      </c>
      <c r="E155" t="s">
        <v>2</v>
      </c>
      <c r="F155" t="s">
        <v>4</v>
      </c>
      <c r="G155" t="s">
        <v>19</v>
      </c>
      <c r="H155">
        <v>18</v>
      </c>
      <c r="I155">
        <v>0</v>
      </c>
      <c r="K155" t="s">
        <v>29</v>
      </c>
      <c r="M155" t="b">
        <v>0</v>
      </c>
      <c r="P155"/>
    </row>
    <row r="156" spans="1:16">
      <c r="A156" t="s">
        <v>0</v>
      </c>
      <c r="B156" s="152">
        <v>312333731</v>
      </c>
      <c r="C156">
        <v>56.672297650000004</v>
      </c>
      <c r="D156">
        <v>38.095902199999998</v>
      </c>
      <c r="E156" s="152" t="s">
        <v>563</v>
      </c>
      <c r="F156" t="s">
        <v>4</v>
      </c>
      <c r="G156" t="s">
        <v>567</v>
      </c>
      <c r="H156">
        <v>16</v>
      </c>
      <c r="I156">
        <v>0</v>
      </c>
      <c r="L156" t="s">
        <v>159</v>
      </c>
      <c r="M156" t="b">
        <v>0</v>
      </c>
      <c r="P156"/>
    </row>
    <row r="157" spans="1:16">
      <c r="A157" t="s">
        <v>0</v>
      </c>
      <c r="B157" s="152">
        <v>312969574</v>
      </c>
      <c r="C157">
        <v>56.988794149999997</v>
      </c>
      <c r="D157">
        <v>38.733110350000004</v>
      </c>
      <c r="E157" s="152" t="s">
        <v>523</v>
      </c>
      <c r="F157" t="s">
        <v>11</v>
      </c>
      <c r="G157" t="s">
        <v>20</v>
      </c>
      <c r="H157">
        <v>10</v>
      </c>
      <c r="I157">
        <v>0</v>
      </c>
      <c r="J157" t="s">
        <v>564</v>
      </c>
      <c r="K157" t="s">
        <v>31</v>
      </c>
      <c r="L157" t="s">
        <v>163</v>
      </c>
      <c r="M157" t="b">
        <v>0</v>
      </c>
      <c r="P157"/>
    </row>
    <row r="158" spans="1:16">
      <c r="A158" t="s">
        <v>0</v>
      </c>
      <c r="B158" s="152">
        <v>312983816</v>
      </c>
      <c r="C158">
        <v>56.137884900000003</v>
      </c>
      <c r="D158">
        <v>38.363846249999995</v>
      </c>
      <c r="E158" s="152" t="s">
        <v>104</v>
      </c>
      <c r="F158" t="s">
        <v>4</v>
      </c>
      <c r="G158" t="s">
        <v>19</v>
      </c>
      <c r="H158">
        <v>21</v>
      </c>
      <c r="I158">
        <v>0</v>
      </c>
      <c r="J158" t="s">
        <v>30</v>
      </c>
      <c r="K158" t="s">
        <v>31</v>
      </c>
      <c r="L158" t="s">
        <v>159</v>
      </c>
      <c r="M158" t="b">
        <v>0</v>
      </c>
      <c r="P158"/>
    </row>
    <row r="159" spans="1:16">
      <c r="A159" t="s">
        <v>0</v>
      </c>
      <c r="B159" s="152">
        <v>313103431</v>
      </c>
      <c r="C159">
        <v>56.059660399999999</v>
      </c>
      <c r="D159">
        <v>38.297194250000004</v>
      </c>
      <c r="E159" s="152" t="s">
        <v>100</v>
      </c>
      <c r="F159" t="s">
        <v>4</v>
      </c>
      <c r="G159" t="s">
        <v>19</v>
      </c>
      <c r="H159">
        <v>22</v>
      </c>
      <c r="I159">
        <v>0</v>
      </c>
      <c r="J159" t="s">
        <v>30</v>
      </c>
      <c r="K159" t="s">
        <v>31</v>
      </c>
      <c r="L159" t="s">
        <v>149</v>
      </c>
      <c r="M159" t="b">
        <v>0</v>
      </c>
      <c r="P159"/>
    </row>
    <row r="160" spans="1:16">
      <c r="A160" t="s">
        <v>0</v>
      </c>
      <c r="B160" s="152">
        <v>314257891</v>
      </c>
      <c r="C160">
        <v>56.24294175</v>
      </c>
      <c r="D160">
        <v>38.544237800000005</v>
      </c>
      <c r="E160" t="s">
        <v>2</v>
      </c>
      <c r="F160" t="s">
        <v>581</v>
      </c>
      <c r="H160">
        <v>6</v>
      </c>
      <c r="I160">
        <v>0</v>
      </c>
      <c r="M160" t="b">
        <v>0</v>
      </c>
      <c r="P160"/>
    </row>
    <row r="161" spans="1:17">
      <c r="A161" t="s">
        <v>0</v>
      </c>
      <c r="B161" s="152">
        <v>322625136</v>
      </c>
      <c r="C161">
        <v>56.400574700000007</v>
      </c>
      <c r="D161">
        <v>38.704450100000003</v>
      </c>
      <c r="E161" t="s">
        <v>2</v>
      </c>
      <c r="F161" t="s">
        <v>580</v>
      </c>
      <c r="H161">
        <v>9</v>
      </c>
      <c r="I161">
        <v>0</v>
      </c>
      <c r="M161" t="b">
        <v>0</v>
      </c>
      <c r="P161"/>
    </row>
    <row r="162" spans="1:17">
      <c r="A162" t="s">
        <v>0</v>
      </c>
      <c r="B162" s="152">
        <v>325803814</v>
      </c>
      <c r="C162">
        <v>56.249670649999999</v>
      </c>
      <c r="D162">
        <v>38.197854050000004</v>
      </c>
      <c r="E162" s="152" t="s">
        <v>72</v>
      </c>
      <c r="F162" t="s">
        <v>4</v>
      </c>
      <c r="G162" t="s">
        <v>19</v>
      </c>
      <c r="H162">
        <v>23</v>
      </c>
      <c r="I162">
        <v>0</v>
      </c>
      <c r="J162" t="s">
        <v>30</v>
      </c>
      <c r="K162" t="s">
        <v>31</v>
      </c>
      <c r="L162" t="s">
        <v>149</v>
      </c>
      <c r="M162" t="b">
        <v>0</v>
      </c>
      <c r="P162"/>
    </row>
    <row r="163" spans="1:17">
      <c r="A163" t="s">
        <v>0</v>
      </c>
      <c r="B163" s="152">
        <v>325810380</v>
      </c>
      <c r="C163">
        <v>56.349579899999995</v>
      </c>
      <c r="D163">
        <v>38.36681145</v>
      </c>
      <c r="E163" s="152" t="s">
        <v>68</v>
      </c>
      <c r="F163" t="s">
        <v>4</v>
      </c>
      <c r="G163" t="s">
        <v>19</v>
      </c>
      <c r="H163">
        <v>21</v>
      </c>
      <c r="I163">
        <v>0</v>
      </c>
      <c r="J163" t="s">
        <v>30</v>
      </c>
      <c r="K163" t="s">
        <v>31</v>
      </c>
      <c r="L163" t="s">
        <v>162</v>
      </c>
      <c r="M163" t="b">
        <v>0</v>
      </c>
      <c r="P163"/>
    </row>
    <row r="164" spans="1:17">
      <c r="A164" t="s">
        <v>0</v>
      </c>
      <c r="B164" s="152">
        <v>325810383</v>
      </c>
      <c r="C164">
        <v>56.305401799999999</v>
      </c>
      <c r="D164">
        <v>38.26945765</v>
      </c>
      <c r="E164" s="152" t="s">
        <v>49</v>
      </c>
      <c r="F164" t="s">
        <v>4</v>
      </c>
      <c r="G164" t="s">
        <v>19</v>
      </c>
      <c r="H164">
        <v>26</v>
      </c>
      <c r="I164">
        <v>0</v>
      </c>
      <c r="L164" t="s">
        <v>162</v>
      </c>
      <c r="M164" t="b">
        <v>0</v>
      </c>
      <c r="P164"/>
    </row>
    <row r="165" spans="1:17">
      <c r="A165" t="s">
        <v>0</v>
      </c>
      <c r="B165" s="152">
        <v>325810384</v>
      </c>
      <c r="C165">
        <v>56.388412599999995</v>
      </c>
      <c r="D165">
        <v>38.2952181</v>
      </c>
      <c r="E165" s="152" t="s">
        <v>49</v>
      </c>
      <c r="F165" t="s">
        <v>4</v>
      </c>
      <c r="G165" t="s">
        <v>19</v>
      </c>
      <c r="H165">
        <v>18</v>
      </c>
      <c r="I165">
        <v>0</v>
      </c>
      <c r="J165" t="s">
        <v>30</v>
      </c>
      <c r="K165" t="s">
        <v>31</v>
      </c>
      <c r="L165" t="s">
        <v>162</v>
      </c>
      <c r="M165" t="b">
        <v>0</v>
      </c>
      <c r="P165"/>
    </row>
    <row r="166" spans="1:17">
      <c r="A166" t="s">
        <v>0</v>
      </c>
      <c r="B166" s="152">
        <v>325810385</v>
      </c>
      <c r="C166">
        <v>56.208578750000001</v>
      </c>
      <c r="D166">
        <v>38.039243800000001</v>
      </c>
      <c r="E166" s="152" t="s">
        <v>77</v>
      </c>
      <c r="F166" t="s">
        <v>4</v>
      </c>
      <c r="G166" t="s">
        <v>19</v>
      </c>
      <c r="H166">
        <v>19</v>
      </c>
      <c r="I166">
        <v>0</v>
      </c>
      <c r="J166" t="s">
        <v>30</v>
      </c>
      <c r="K166" t="s">
        <v>31</v>
      </c>
      <c r="L166" t="s">
        <v>149</v>
      </c>
      <c r="M166" t="b">
        <v>0</v>
      </c>
      <c r="P166"/>
    </row>
    <row r="167" spans="1:17">
      <c r="A167" t="s">
        <v>0</v>
      </c>
      <c r="B167" s="152">
        <v>326305136</v>
      </c>
      <c r="C167">
        <v>56.185673449999996</v>
      </c>
      <c r="D167">
        <v>38.167922050000001</v>
      </c>
      <c r="E167" s="152" t="s">
        <v>63</v>
      </c>
      <c r="F167" t="s">
        <v>4</v>
      </c>
      <c r="G167" t="s">
        <v>19</v>
      </c>
      <c r="H167">
        <v>18</v>
      </c>
      <c r="I167">
        <v>0</v>
      </c>
      <c r="J167" t="s">
        <v>147</v>
      </c>
      <c r="K167" t="s">
        <v>31</v>
      </c>
      <c r="L167" t="s">
        <v>574</v>
      </c>
      <c r="M167" t="b">
        <v>0</v>
      </c>
      <c r="P167"/>
    </row>
    <row r="168" spans="1:17">
      <c r="A168" t="s">
        <v>0</v>
      </c>
      <c r="B168" s="152">
        <v>327327818</v>
      </c>
      <c r="C168">
        <v>56.744883549999997</v>
      </c>
      <c r="D168">
        <v>38.913429149999999</v>
      </c>
      <c r="E168" s="152" t="s">
        <v>78</v>
      </c>
      <c r="F168" t="s">
        <v>4</v>
      </c>
      <c r="G168" t="s">
        <v>19</v>
      </c>
      <c r="H168">
        <v>23</v>
      </c>
      <c r="I168">
        <v>0</v>
      </c>
      <c r="J168" t="s">
        <v>30</v>
      </c>
      <c r="K168" t="s">
        <v>31</v>
      </c>
      <c r="L168" t="s">
        <v>159</v>
      </c>
      <c r="M168" t="b">
        <v>0</v>
      </c>
      <c r="P168"/>
    </row>
    <row r="169" spans="1:17">
      <c r="A169" t="s">
        <v>0</v>
      </c>
      <c r="B169" s="152">
        <v>327339337</v>
      </c>
      <c r="C169">
        <v>56.448356250000003</v>
      </c>
      <c r="D169">
        <v>38.702480600000001</v>
      </c>
      <c r="E169" s="152" t="s">
        <v>105</v>
      </c>
      <c r="F169" t="s">
        <v>4</v>
      </c>
      <c r="G169" t="s">
        <v>19</v>
      </c>
      <c r="H169">
        <v>23</v>
      </c>
      <c r="I169">
        <v>0</v>
      </c>
      <c r="J169" t="s">
        <v>301</v>
      </c>
      <c r="K169" t="s">
        <v>132</v>
      </c>
      <c r="L169" t="s">
        <v>160</v>
      </c>
      <c r="M169" t="b">
        <v>0</v>
      </c>
      <c r="P169"/>
    </row>
    <row r="170" spans="1:17">
      <c r="A170" t="s">
        <v>0</v>
      </c>
      <c r="B170" s="152">
        <v>327339338</v>
      </c>
      <c r="C170">
        <v>56.504438500000006</v>
      </c>
      <c r="D170">
        <v>38.7117097</v>
      </c>
      <c r="E170" s="152" t="s">
        <v>106</v>
      </c>
      <c r="F170" t="s">
        <v>4</v>
      </c>
      <c r="G170" t="s">
        <v>567</v>
      </c>
      <c r="H170">
        <v>14</v>
      </c>
      <c r="I170">
        <v>0</v>
      </c>
      <c r="L170" t="s">
        <v>159</v>
      </c>
      <c r="M170" t="b">
        <v>0</v>
      </c>
      <c r="P170"/>
    </row>
    <row r="171" spans="1:17">
      <c r="A171" t="s">
        <v>0</v>
      </c>
      <c r="B171" s="152">
        <v>327339342</v>
      </c>
      <c r="C171">
        <v>56.377227000000005</v>
      </c>
      <c r="D171">
        <v>38.585556650000001</v>
      </c>
      <c r="E171" s="152" t="s">
        <v>77</v>
      </c>
      <c r="F171" t="s">
        <v>4</v>
      </c>
      <c r="G171" t="s">
        <v>19</v>
      </c>
      <c r="H171">
        <v>28</v>
      </c>
      <c r="I171">
        <v>0</v>
      </c>
      <c r="J171" t="s">
        <v>30</v>
      </c>
      <c r="K171" t="s">
        <v>31</v>
      </c>
      <c r="L171" t="s">
        <v>574</v>
      </c>
      <c r="M171" t="b">
        <v>0</v>
      </c>
      <c r="P171"/>
    </row>
    <row r="172" spans="1:17">
      <c r="A172" t="s">
        <v>0</v>
      </c>
      <c r="B172" s="152">
        <v>327339343</v>
      </c>
      <c r="C172">
        <v>56.27022805</v>
      </c>
      <c r="D172">
        <v>38.680757749999998</v>
      </c>
      <c r="E172" s="152" t="s">
        <v>84</v>
      </c>
      <c r="F172" t="s">
        <v>4</v>
      </c>
      <c r="G172" t="s">
        <v>19</v>
      </c>
      <c r="H172">
        <v>16</v>
      </c>
      <c r="I172">
        <v>0</v>
      </c>
      <c r="J172" t="s">
        <v>30</v>
      </c>
      <c r="K172" t="s">
        <v>31</v>
      </c>
      <c r="L172" t="s">
        <v>159</v>
      </c>
      <c r="M172" t="b">
        <v>0</v>
      </c>
      <c r="P172"/>
    </row>
    <row r="173" spans="1:17">
      <c r="A173" t="s">
        <v>0</v>
      </c>
      <c r="B173" s="152">
        <v>327339344</v>
      </c>
      <c r="C173">
        <v>56.270079750000001</v>
      </c>
      <c r="D173">
        <v>38.67933755</v>
      </c>
      <c r="E173" s="152" t="s">
        <v>107</v>
      </c>
      <c r="F173" t="s">
        <v>4</v>
      </c>
      <c r="G173" t="s">
        <v>19</v>
      </c>
      <c r="H173">
        <v>19</v>
      </c>
      <c r="I173">
        <v>0</v>
      </c>
      <c r="J173" t="s">
        <v>30</v>
      </c>
      <c r="K173" t="s">
        <v>31</v>
      </c>
      <c r="L173" t="s">
        <v>160</v>
      </c>
      <c r="M173" t="b">
        <v>0</v>
      </c>
      <c r="P173"/>
    </row>
    <row r="174" spans="1:17">
      <c r="A174" t="s">
        <v>0</v>
      </c>
      <c r="B174" s="152">
        <v>327339345</v>
      </c>
      <c r="C174">
        <v>56.269932350000005</v>
      </c>
      <c r="D174">
        <v>38.681742849999999</v>
      </c>
      <c r="E174" s="152" t="s">
        <v>78</v>
      </c>
      <c r="F174" t="s">
        <v>4</v>
      </c>
      <c r="G174" t="s">
        <v>19</v>
      </c>
      <c r="H174">
        <v>29</v>
      </c>
      <c r="I174">
        <v>0</v>
      </c>
      <c r="J174" t="s">
        <v>30</v>
      </c>
      <c r="K174" t="s">
        <v>31</v>
      </c>
      <c r="L174" t="s">
        <v>162</v>
      </c>
      <c r="M174" t="b">
        <v>0</v>
      </c>
      <c r="P174"/>
    </row>
    <row r="175" spans="1:17">
      <c r="A175" t="s">
        <v>0</v>
      </c>
      <c r="B175" s="152">
        <v>327877621</v>
      </c>
      <c r="C175">
        <v>56.161920100000003</v>
      </c>
      <c r="D175">
        <v>38.869327849999998</v>
      </c>
      <c r="E175" s="152" t="s">
        <v>108</v>
      </c>
      <c r="F175" t="s">
        <v>6</v>
      </c>
      <c r="G175" t="s">
        <v>19</v>
      </c>
      <c r="H175">
        <v>25</v>
      </c>
      <c r="I175">
        <v>0</v>
      </c>
      <c r="J175" t="s">
        <v>30</v>
      </c>
      <c r="K175" t="s">
        <v>31</v>
      </c>
      <c r="L175" t="s">
        <v>158</v>
      </c>
      <c r="M175" t="b">
        <v>0</v>
      </c>
      <c r="N175" t="s">
        <v>145</v>
      </c>
      <c r="O175">
        <v>4</v>
      </c>
      <c r="P175">
        <v>4</v>
      </c>
      <c r="Q175" t="s">
        <v>544</v>
      </c>
    </row>
    <row r="176" spans="1:17">
      <c r="A176" t="s">
        <v>0</v>
      </c>
      <c r="B176" s="152">
        <v>327877622</v>
      </c>
      <c r="C176">
        <v>56.161797200000002</v>
      </c>
      <c r="D176">
        <v>38.870027550000003</v>
      </c>
      <c r="E176" s="152" t="s">
        <v>102</v>
      </c>
      <c r="F176" t="s">
        <v>4</v>
      </c>
      <c r="G176" t="s">
        <v>19</v>
      </c>
      <c r="H176">
        <v>26</v>
      </c>
      <c r="I176">
        <v>0</v>
      </c>
      <c r="J176" t="s">
        <v>30</v>
      </c>
      <c r="K176" t="s">
        <v>31</v>
      </c>
      <c r="L176" t="s">
        <v>574</v>
      </c>
      <c r="M176" t="b">
        <v>0</v>
      </c>
      <c r="P176"/>
    </row>
    <row r="177" spans="1:17">
      <c r="A177" t="s">
        <v>0</v>
      </c>
      <c r="B177" s="152">
        <v>327877623</v>
      </c>
      <c r="C177">
        <v>56.162052849999995</v>
      </c>
      <c r="D177">
        <v>38.869520600000001</v>
      </c>
      <c r="E177" s="152" t="s">
        <v>109</v>
      </c>
      <c r="F177" t="s">
        <v>4</v>
      </c>
      <c r="G177" t="s">
        <v>19</v>
      </c>
      <c r="H177">
        <v>16</v>
      </c>
      <c r="I177">
        <v>0</v>
      </c>
      <c r="J177" t="s">
        <v>569</v>
      </c>
      <c r="K177" t="s">
        <v>31</v>
      </c>
      <c r="L177" t="s">
        <v>573</v>
      </c>
      <c r="M177" t="b">
        <v>0</v>
      </c>
      <c r="P177"/>
    </row>
    <row r="178" spans="1:17">
      <c r="A178" t="s">
        <v>0</v>
      </c>
      <c r="B178" s="152">
        <v>327877624</v>
      </c>
      <c r="C178">
        <v>56.162539150000001</v>
      </c>
      <c r="D178">
        <v>38.868912850000001</v>
      </c>
      <c r="E178" s="152" t="s">
        <v>75</v>
      </c>
      <c r="F178" t="s">
        <v>11</v>
      </c>
      <c r="G178" t="s">
        <v>20</v>
      </c>
      <c r="H178">
        <v>6</v>
      </c>
      <c r="I178">
        <v>0</v>
      </c>
      <c r="J178" t="s">
        <v>30</v>
      </c>
      <c r="K178" t="s">
        <v>31</v>
      </c>
      <c r="L178" t="s">
        <v>149</v>
      </c>
      <c r="M178" t="b">
        <v>0</v>
      </c>
      <c r="P178"/>
    </row>
    <row r="179" spans="1:17">
      <c r="A179" t="s">
        <v>0</v>
      </c>
      <c r="B179" s="152">
        <v>330263817</v>
      </c>
      <c r="C179">
        <v>56.120306049999996</v>
      </c>
      <c r="D179">
        <v>38.336039249999999</v>
      </c>
      <c r="E179" s="152" t="s">
        <v>110</v>
      </c>
      <c r="F179" t="s">
        <v>11</v>
      </c>
      <c r="G179" t="s">
        <v>20</v>
      </c>
      <c r="H179">
        <v>1</v>
      </c>
      <c r="I179">
        <v>0</v>
      </c>
      <c r="J179" t="s">
        <v>131</v>
      </c>
      <c r="K179" t="s">
        <v>132</v>
      </c>
      <c r="L179" t="s">
        <v>160</v>
      </c>
      <c r="M179" t="b">
        <v>0</v>
      </c>
      <c r="P179"/>
    </row>
    <row r="180" spans="1:17">
      <c r="A180" t="s">
        <v>0</v>
      </c>
      <c r="B180" s="152">
        <v>338799390</v>
      </c>
      <c r="C180">
        <v>56.299624899999998</v>
      </c>
      <c r="D180">
        <v>38.124967749999996</v>
      </c>
      <c r="E180" t="s">
        <v>2</v>
      </c>
      <c r="F180" t="s">
        <v>583</v>
      </c>
      <c r="G180" t="s">
        <v>584</v>
      </c>
      <c r="H180">
        <v>82</v>
      </c>
      <c r="I180">
        <v>0</v>
      </c>
      <c r="M180" t="b">
        <v>0</v>
      </c>
      <c r="N180" t="s">
        <v>142</v>
      </c>
      <c r="O180">
        <v>4</v>
      </c>
      <c r="P180"/>
    </row>
    <row r="181" spans="1:17">
      <c r="A181" t="s">
        <v>0</v>
      </c>
      <c r="B181" s="152">
        <v>340734385</v>
      </c>
      <c r="C181">
        <v>56.30840955</v>
      </c>
      <c r="D181">
        <v>38.132819049999995</v>
      </c>
      <c r="E181" s="152" t="s">
        <v>94</v>
      </c>
      <c r="F181" t="s">
        <v>4</v>
      </c>
      <c r="G181" t="s">
        <v>19</v>
      </c>
      <c r="H181">
        <v>15</v>
      </c>
      <c r="I181">
        <v>0</v>
      </c>
      <c r="J181" t="s">
        <v>30</v>
      </c>
      <c r="K181" t="s">
        <v>31</v>
      </c>
      <c r="L181" t="s">
        <v>158</v>
      </c>
      <c r="M181" t="b">
        <v>0</v>
      </c>
      <c r="N181" t="s">
        <v>145</v>
      </c>
      <c r="O181">
        <v>4</v>
      </c>
      <c r="P181">
        <v>4</v>
      </c>
      <c r="Q181" t="s">
        <v>544</v>
      </c>
    </row>
    <row r="182" spans="1:17">
      <c r="A182" t="s">
        <v>0</v>
      </c>
      <c r="B182" s="152">
        <v>353756754</v>
      </c>
      <c r="C182">
        <v>56.323355399999997</v>
      </c>
      <c r="D182">
        <v>38.081720300000001</v>
      </c>
      <c r="E182" s="152" t="s">
        <v>111</v>
      </c>
      <c r="F182" t="s">
        <v>4</v>
      </c>
      <c r="G182" t="s">
        <v>19</v>
      </c>
      <c r="H182">
        <v>16</v>
      </c>
      <c r="I182">
        <v>0</v>
      </c>
      <c r="K182" t="s">
        <v>29</v>
      </c>
      <c r="L182" t="s">
        <v>160</v>
      </c>
      <c r="M182" t="b">
        <v>0</v>
      </c>
      <c r="P182"/>
    </row>
    <row r="183" spans="1:17">
      <c r="A183" t="s">
        <v>0</v>
      </c>
      <c r="B183" s="152">
        <v>354193583</v>
      </c>
      <c r="C183">
        <v>56.285060350000002</v>
      </c>
      <c r="D183">
        <v>38.060276250000001</v>
      </c>
      <c r="E183" s="152" t="s">
        <v>90</v>
      </c>
      <c r="F183" t="s">
        <v>4</v>
      </c>
      <c r="G183" t="s">
        <v>19</v>
      </c>
      <c r="H183">
        <v>16</v>
      </c>
      <c r="I183">
        <v>0</v>
      </c>
      <c r="J183" t="s">
        <v>131</v>
      </c>
      <c r="K183" t="s">
        <v>31</v>
      </c>
      <c r="L183" t="s">
        <v>160</v>
      </c>
      <c r="M183" t="b">
        <v>0</v>
      </c>
      <c r="P183"/>
    </row>
    <row r="184" spans="1:17">
      <c r="A184" t="s">
        <v>0</v>
      </c>
      <c r="B184" s="152">
        <v>355256139</v>
      </c>
      <c r="C184">
        <v>56.293870749999996</v>
      </c>
      <c r="D184">
        <v>38.399943050000005</v>
      </c>
      <c r="E184" s="152" t="s">
        <v>49</v>
      </c>
      <c r="F184" t="s">
        <v>4</v>
      </c>
      <c r="G184" t="s">
        <v>19</v>
      </c>
      <c r="H184">
        <v>16</v>
      </c>
      <c r="I184">
        <v>0</v>
      </c>
      <c r="J184" t="s">
        <v>30</v>
      </c>
      <c r="K184" t="s">
        <v>31</v>
      </c>
      <c r="L184" t="s">
        <v>149</v>
      </c>
      <c r="M184" t="b">
        <v>0</v>
      </c>
      <c r="P184"/>
    </row>
    <row r="185" spans="1:17">
      <c r="A185" t="s">
        <v>0</v>
      </c>
      <c r="B185" s="152">
        <v>363733997</v>
      </c>
      <c r="C185">
        <v>56.29123895</v>
      </c>
      <c r="D185">
        <v>38.861104299999994</v>
      </c>
      <c r="E185" t="s">
        <v>112</v>
      </c>
      <c r="F185" t="s">
        <v>3</v>
      </c>
      <c r="G185" t="s">
        <v>18</v>
      </c>
      <c r="H185">
        <v>10</v>
      </c>
      <c r="I185">
        <v>0</v>
      </c>
      <c r="M185" t="b">
        <v>0</v>
      </c>
      <c r="P185"/>
    </row>
    <row r="186" spans="1:17">
      <c r="A186" t="s">
        <v>0</v>
      </c>
      <c r="B186" s="152">
        <v>367109241</v>
      </c>
      <c r="C186">
        <v>56.360574999999997</v>
      </c>
      <c r="D186">
        <v>38.392142800000002</v>
      </c>
      <c r="E186" s="152" t="s">
        <v>74</v>
      </c>
      <c r="F186" t="s">
        <v>4</v>
      </c>
      <c r="G186" t="s">
        <v>19</v>
      </c>
      <c r="H186">
        <v>14</v>
      </c>
      <c r="I186">
        <v>0</v>
      </c>
      <c r="J186" t="s">
        <v>435</v>
      </c>
      <c r="K186" t="s">
        <v>29</v>
      </c>
      <c r="L186" t="s">
        <v>160</v>
      </c>
      <c r="M186" t="b">
        <v>0</v>
      </c>
      <c r="P186"/>
    </row>
    <row r="187" spans="1:17">
      <c r="A187" t="s">
        <v>0</v>
      </c>
      <c r="B187" s="152">
        <v>367168144</v>
      </c>
      <c r="C187">
        <v>56.801079299999998</v>
      </c>
      <c r="D187">
        <v>38.173230650000001</v>
      </c>
      <c r="E187" s="152" t="s">
        <v>98</v>
      </c>
      <c r="F187" t="s">
        <v>4</v>
      </c>
      <c r="G187" t="s">
        <v>567</v>
      </c>
      <c r="H187">
        <v>14</v>
      </c>
      <c r="I187">
        <v>0</v>
      </c>
      <c r="L187" t="s">
        <v>159</v>
      </c>
      <c r="M187" t="b">
        <v>0</v>
      </c>
      <c r="P187"/>
    </row>
    <row r="188" spans="1:17">
      <c r="A188" t="s">
        <v>0</v>
      </c>
      <c r="B188" s="152">
        <v>367350229</v>
      </c>
      <c r="C188">
        <v>56.287414550000001</v>
      </c>
      <c r="D188">
        <v>38.177486549999998</v>
      </c>
      <c r="E188" s="152" t="s">
        <v>113</v>
      </c>
      <c r="F188" t="s">
        <v>6</v>
      </c>
      <c r="G188" t="s">
        <v>19</v>
      </c>
      <c r="H188">
        <v>14</v>
      </c>
      <c r="I188">
        <v>0</v>
      </c>
      <c r="L188" t="s">
        <v>162</v>
      </c>
      <c r="M188" t="b">
        <v>0</v>
      </c>
      <c r="P188"/>
    </row>
    <row r="189" spans="1:17">
      <c r="A189" t="s">
        <v>0</v>
      </c>
      <c r="B189" s="152">
        <v>367350230</v>
      </c>
      <c r="C189">
        <v>56.3379233</v>
      </c>
      <c r="D189">
        <v>38.210350699999999</v>
      </c>
      <c r="E189" s="152" t="s">
        <v>114</v>
      </c>
      <c r="F189" t="s">
        <v>4</v>
      </c>
      <c r="G189" t="s">
        <v>19</v>
      </c>
      <c r="H189">
        <v>21</v>
      </c>
      <c r="I189">
        <v>0</v>
      </c>
      <c r="J189" t="s">
        <v>30</v>
      </c>
      <c r="K189" t="s">
        <v>31</v>
      </c>
      <c r="L189" t="s">
        <v>160</v>
      </c>
      <c r="M189" t="b">
        <v>0</v>
      </c>
      <c r="P189"/>
    </row>
    <row r="190" spans="1:17">
      <c r="A190" t="s">
        <v>0</v>
      </c>
      <c r="B190" s="152">
        <v>367350232</v>
      </c>
      <c r="C190">
        <v>56.360548600000001</v>
      </c>
      <c r="D190">
        <v>38.025363650000003</v>
      </c>
      <c r="E190" s="152" t="s">
        <v>85</v>
      </c>
      <c r="F190" t="s">
        <v>4</v>
      </c>
      <c r="G190" t="s">
        <v>19</v>
      </c>
      <c r="H190">
        <v>14</v>
      </c>
      <c r="I190">
        <v>0</v>
      </c>
      <c r="J190" t="s">
        <v>30</v>
      </c>
      <c r="K190" t="s">
        <v>31</v>
      </c>
      <c r="L190" t="s">
        <v>162</v>
      </c>
      <c r="M190" t="b">
        <v>0</v>
      </c>
      <c r="P190"/>
    </row>
    <row r="191" spans="1:17">
      <c r="A191" t="s">
        <v>0</v>
      </c>
      <c r="B191" s="152">
        <v>367350234</v>
      </c>
      <c r="C191">
        <v>56.320464099999995</v>
      </c>
      <c r="D191">
        <v>38.123089399999998</v>
      </c>
      <c r="E191" s="152" t="s">
        <v>102</v>
      </c>
      <c r="F191" t="s">
        <v>4</v>
      </c>
      <c r="G191" t="s">
        <v>19</v>
      </c>
      <c r="H191">
        <v>17</v>
      </c>
      <c r="I191">
        <v>8</v>
      </c>
      <c r="J191" t="s">
        <v>505</v>
      </c>
      <c r="K191" t="s">
        <v>31</v>
      </c>
      <c r="L191" t="s">
        <v>149</v>
      </c>
      <c r="M191" t="b">
        <v>1</v>
      </c>
      <c r="P191"/>
    </row>
    <row r="192" spans="1:17">
      <c r="A192" t="s">
        <v>0</v>
      </c>
      <c r="B192" s="152">
        <v>367350237</v>
      </c>
      <c r="C192">
        <v>56.307243499999998</v>
      </c>
      <c r="D192">
        <v>38.124804699999999</v>
      </c>
      <c r="E192" s="152" t="s">
        <v>565</v>
      </c>
      <c r="F192" t="s">
        <v>566</v>
      </c>
      <c r="H192">
        <v>17</v>
      </c>
      <c r="I192">
        <v>0</v>
      </c>
      <c r="J192" t="s">
        <v>131</v>
      </c>
      <c r="K192" t="s">
        <v>31</v>
      </c>
      <c r="L192" t="s">
        <v>160</v>
      </c>
      <c r="M192" t="b">
        <v>0</v>
      </c>
      <c r="P192"/>
    </row>
    <row r="193" spans="1:16">
      <c r="A193" t="s">
        <v>0</v>
      </c>
      <c r="B193" s="152">
        <v>367350239</v>
      </c>
      <c r="C193">
        <v>56.3068922</v>
      </c>
      <c r="D193">
        <v>38.125049599999997</v>
      </c>
      <c r="E193" s="152" t="s">
        <v>83</v>
      </c>
      <c r="F193" t="s">
        <v>4</v>
      </c>
      <c r="G193" t="s">
        <v>19</v>
      </c>
      <c r="H193">
        <v>23</v>
      </c>
      <c r="I193">
        <v>0</v>
      </c>
      <c r="J193" t="s">
        <v>153</v>
      </c>
      <c r="K193" t="s">
        <v>31</v>
      </c>
      <c r="L193" t="s">
        <v>151</v>
      </c>
      <c r="M193" t="b">
        <v>0</v>
      </c>
      <c r="P193"/>
    </row>
    <row r="194" spans="1:16">
      <c r="A194" t="s">
        <v>0</v>
      </c>
      <c r="B194" s="152">
        <v>367350240</v>
      </c>
      <c r="C194">
        <v>56.334408500000002</v>
      </c>
      <c r="D194">
        <v>38.099353000000001</v>
      </c>
      <c r="E194" s="152" t="s">
        <v>570</v>
      </c>
      <c r="F194" t="s">
        <v>4</v>
      </c>
      <c r="G194" t="s">
        <v>19</v>
      </c>
      <c r="H194">
        <v>12</v>
      </c>
      <c r="I194">
        <v>0</v>
      </c>
      <c r="J194" t="s">
        <v>147</v>
      </c>
      <c r="K194" t="s">
        <v>31</v>
      </c>
      <c r="L194" t="s">
        <v>160</v>
      </c>
      <c r="M194" t="b">
        <v>0</v>
      </c>
      <c r="P194"/>
    </row>
    <row r="195" spans="1:16">
      <c r="A195" t="s">
        <v>0</v>
      </c>
      <c r="B195" s="152">
        <v>367350241</v>
      </c>
      <c r="C195">
        <v>56.310144600000001</v>
      </c>
      <c r="D195">
        <v>38.149137949999997</v>
      </c>
      <c r="E195" s="152" t="s">
        <v>115</v>
      </c>
      <c r="F195" t="s">
        <v>4</v>
      </c>
      <c r="G195" t="s">
        <v>19</v>
      </c>
      <c r="H195">
        <v>20</v>
      </c>
      <c r="I195">
        <v>0</v>
      </c>
      <c r="J195" t="s">
        <v>131</v>
      </c>
      <c r="K195" t="s">
        <v>132</v>
      </c>
      <c r="L195" t="s">
        <v>161</v>
      </c>
      <c r="M195" t="b">
        <v>0</v>
      </c>
      <c r="P195"/>
    </row>
    <row r="196" spans="1:16">
      <c r="A196" t="s">
        <v>0</v>
      </c>
      <c r="B196" s="152">
        <v>367350244</v>
      </c>
      <c r="C196">
        <v>56.287625300000002</v>
      </c>
      <c r="D196">
        <v>38.177185350000002</v>
      </c>
      <c r="E196" s="152" t="s">
        <v>77</v>
      </c>
      <c r="F196" t="s">
        <v>4</v>
      </c>
      <c r="G196" t="s">
        <v>20</v>
      </c>
      <c r="H196">
        <v>9</v>
      </c>
      <c r="I196">
        <v>0</v>
      </c>
      <c r="M196" t="b">
        <v>0</v>
      </c>
      <c r="P196"/>
    </row>
    <row r="197" spans="1:16">
      <c r="A197" t="s">
        <v>0</v>
      </c>
      <c r="B197" s="152">
        <v>367350248</v>
      </c>
      <c r="C197">
        <v>56.28246875</v>
      </c>
      <c r="D197">
        <v>38.083715400000003</v>
      </c>
      <c r="E197" s="152" t="s">
        <v>84</v>
      </c>
      <c r="F197" t="s">
        <v>4</v>
      </c>
      <c r="G197" t="s">
        <v>19</v>
      </c>
      <c r="H197">
        <v>14</v>
      </c>
      <c r="I197">
        <v>0</v>
      </c>
      <c r="J197" t="s">
        <v>30</v>
      </c>
      <c r="K197" t="s">
        <v>31</v>
      </c>
      <c r="L197" t="s">
        <v>160</v>
      </c>
      <c r="M197" t="b">
        <v>0</v>
      </c>
      <c r="P197"/>
    </row>
    <row r="198" spans="1:16">
      <c r="A198" t="s">
        <v>0</v>
      </c>
      <c r="B198" s="152">
        <v>367874174</v>
      </c>
      <c r="C198">
        <v>56.297109750000004</v>
      </c>
      <c r="D198">
        <v>38.184244500000005</v>
      </c>
      <c r="E198" s="152" t="s">
        <v>116</v>
      </c>
      <c r="F198" t="s">
        <v>4</v>
      </c>
      <c r="G198" t="s">
        <v>19</v>
      </c>
      <c r="H198">
        <v>18</v>
      </c>
      <c r="I198">
        <v>0</v>
      </c>
      <c r="J198" t="s">
        <v>30</v>
      </c>
      <c r="K198" t="s">
        <v>31</v>
      </c>
      <c r="L198" t="s">
        <v>149</v>
      </c>
      <c r="M198" t="b">
        <v>0</v>
      </c>
      <c r="P198"/>
    </row>
    <row r="199" spans="1:16">
      <c r="A199" t="s">
        <v>0</v>
      </c>
      <c r="B199" s="152">
        <v>370065111</v>
      </c>
      <c r="C199">
        <v>56.9979254</v>
      </c>
      <c r="D199">
        <v>38.41647725</v>
      </c>
      <c r="E199" s="152" t="s">
        <v>72</v>
      </c>
      <c r="F199" t="s">
        <v>4</v>
      </c>
      <c r="G199" t="s">
        <v>19</v>
      </c>
      <c r="H199">
        <v>24</v>
      </c>
      <c r="I199">
        <v>0</v>
      </c>
      <c r="J199" t="s">
        <v>30</v>
      </c>
      <c r="K199" t="s">
        <v>31</v>
      </c>
      <c r="L199" t="s">
        <v>159</v>
      </c>
      <c r="M199" t="b">
        <v>0</v>
      </c>
      <c r="P199"/>
    </row>
    <row r="200" spans="1:16">
      <c r="A200" t="s">
        <v>0</v>
      </c>
      <c r="B200" s="152">
        <v>370075933</v>
      </c>
      <c r="C200">
        <v>56.318221800000003</v>
      </c>
      <c r="D200">
        <v>38.237145400000003</v>
      </c>
      <c r="E200" s="152" t="s">
        <v>117</v>
      </c>
      <c r="F200" t="s">
        <v>4</v>
      </c>
      <c r="G200" t="s">
        <v>19</v>
      </c>
      <c r="H200">
        <v>16</v>
      </c>
      <c r="I200">
        <v>0</v>
      </c>
      <c r="J200" t="s">
        <v>505</v>
      </c>
      <c r="K200" t="s">
        <v>31</v>
      </c>
      <c r="L200" t="s">
        <v>162</v>
      </c>
      <c r="M200" t="b">
        <v>0</v>
      </c>
      <c r="P200"/>
    </row>
    <row r="201" spans="1:16">
      <c r="A201" t="s">
        <v>0</v>
      </c>
      <c r="B201" s="152">
        <v>371132835</v>
      </c>
      <c r="C201">
        <v>56.58975985</v>
      </c>
      <c r="D201">
        <v>38.595952949999997</v>
      </c>
      <c r="E201" s="152" t="s">
        <v>122</v>
      </c>
      <c r="F201" t="s">
        <v>4</v>
      </c>
      <c r="G201" t="s">
        <v>19</v>
      </c>
      <c r="H201">
        <v>22</v>
      </c>
      <c r="I201">
        <v>0</v>
      </c>
      <c r="J201" t="s">
        <v>30</v>
      </c>
      <c r="K201" t="s">
        <v>31</v>
      </c>
      <c r="L201" t="s">
        <v>159</v>
      </c>
      <c r="M201" t="b">
        <v>0</v>
      </c>
      <c r="P201"/>
    </row>
    <row r="202" spans="1:16">
      <c r="A202" t="s">
        <v>0</v>
      </c>
      <c r="B202" s="152">
        <v>372209437</v>
      </c>
      <c r="C202">
        <v>56.521253950000002</v>
      </c>
      <c r="D202">
        <v>38.149669600000003</v>
      </c>
      <c r="E202" s="152" t="s">
        <v>98</v>
      </c>
      <c r="F202" t="s">
        <v>4</v>
      </c>
      <c r="G202" t="s">
        <v>19</v>
      </c>
      <c r="H202">
        <v>23</v>
      </c>
      <c r="I202">
        <v>0</v>
      </c>
      <c r="K202" t="s">
        <v>31</v>
      </c>
      <c r="L202" t="s">
        <v>149</v>
      </c>
      <c r="M202" t="b">
        <v>0</v>
      </c>
      <c r="P202"/>
    </row>
    <row r="203" spans="1:16">
      <c r="A203" t="s">
        <v>0</v>
      </c>
      <c r="B203" s="152">
        <v>373059963</v>
      </c>
      <c r="C203">
        <v>56.741695449999995</v>
      </c>
      <c r="D203">
        <v>38.994943050000003</v>
      </c>
      <c r="E203" s="152" t="s">
        <v>74</v>
      </c>
      <c r="F203" t="s">
        <v>4</v>
      </c>
      <c r="G203" t="s">
        <v>19</v>
      </c>
      <c r="H203">
        <v>20</v>
      </c>
      <c r="I203">
        <v>0</v>
      </c>
      <c r="J203" t="s">
        <v>30</v>
      </c>
      <c r="K203" t="s">
        <v>31</v>
      </c>
      <c r="L203" t="s">
        <v>162</v>
      </c>
      <c r="M203" t="b">
        <v>0</v>
      </c>
      <c r="P203"/>
    </row>
    <row r="204" spans="1:16">
      <c r="A204" t="s">
        <v>0</v>
      </c>
      <c r="B204" s="152">
        <v>375720029</v>
      </c>
      <c r="C204">
        <v>56.88538595</v>
      </c>
      <c r="D204">
        <v>38.867908150000005</v>
      </c>
      <c r="E204" s="152" t="s">
        <v>78</v>
      </c>
      <c r="F204" t="s">
        <v>4</v>
      </c>
      <c r="G204" t="s">
        <v>19</v>
      </c>
      <c r="H204">
        <v>17</v>
      </c>
      <c r="I204">
        <v>0</v>
      </c>
      <c r="J204" t="s">
        <v>30</v>
      </c>
      <c r="K204" t="s">
        <v>31</v>
      </c>
      <c r="L204" t="s">
        <v>159</v>
      </c>
      <c r="M204" t="b">
        <v>0</v>
      </c>
      <c r="P204"/>
    </row>
    <row r="205" spans="1:16">
      <c r="A205" t="s">
        <v>0</v>
      </c>
      <c r="B205" s="152">
        <v>395444669</v>
      </c>
      <c r="C205">
        <v>56.522969500000002</v>
      </c>
      <c r="D205">
        <v>38.074273849999997</v>
      </c>
      <c r="E205" s="152" t="s">
        <v>68</v>
      </c>
      <c r="F205" t="s">
        <v>4</v>
      </c>
      <c r="G205" t="s">
        <v>19</v>
      </c>
      <c r="H205">
        <v>23</v>
      </c>
      <c r="I205">
        <v>0</v>
      </c>
      <c r="J205" t="s">
        <v>30</v>
      </c>
      <c r="K205" t="s">
        <v>31</v>
      </c>
      <c r="L205" t="s">
        <v>151</v>
      </c>
      <c r="M205" t="b">
        <v>0</v>
      </c>
      <c r="P205"/>
    </row>
    <row r="206" spans="1:16">
      <c r="A206" t="s">
        <v>0</v>
      </c>
      <c r="B206" s="152">
        <v>403330347</v>
      </c>
      <c r="C206">
        <v>56.343312949999998</v>
      </c>
      <c r="D206">
        <v>38.374390599999998</v>
      </c>
      <c r="E206" s="152" t="s">
        <v>106</v>
      </c>
      <c r="F206" t="s">
        <v>4</v>
      </c>
      <c r="G206" t="s">
        <v>19</v>
      </c>
      <c r="H206">
        <v>17</v>
      </c>
      <c r="I206">
        <v>0</v>
      </c>
      <c r="J206" t="s">
        <v>131</v>
      </c>
      <c r="K206" t="s">
        <v>132</v>
      </c>
      <c r="L206" t="s">
        <v>162</v>
      </c>
      <c r="M206" t="b">
        <v>0</v>
      </c>
      <c r="P206"/>
    </row>
    <row r="207" spans="1:16">
      <c r="A207" t="s">
        <v>0</v>
      </c>
      <c r="B207" s="152">
        <v>403337970</v>
      </c>
      <c r="C207">
        <v>56.3493177</v>
      </c>
      <c r="D207">
        <v>38.367268449999997</v>
      </c>
      <c r="E207" s="152" t="s">
        <v>118</v>
      </c>
      <c r="F207" t="s">
        <v>4</v>
      </c>
      <c r="G207" t="s">
        <v>19</v>
      </c>
      <c r="H207">
        <v>15</v>
      </c>
      <c r="I207">
        <v>0</v>
      </c>
      <c r="J207" t="s">
        <v>30</v>
      </c>
      <c r="K207" t="s">
        <v>31</v>
      </c>
      <c r="L207" t="s">
        <v>159</v>
      </c>
      <c r="M207" t="b">
        <v>0</v>
      </c>
      <c r="P207"/>
    </row>
    <row r="208" spans="1:16">
      <c r="A208" t="s">
        <v>0</v>
      </c>
      <c r="B208" s="152">
        <v>414931432</v>
      </c>
      <c r="C208">
        <v>56.318042500000004</v>
      </c>
      <c r="D208">
        <v>38.236790200000002</v>
      </c>
      <c r="E208" t="s">
        <v>534</v>
      </c>
      <c r="F208" t="s">
        <v>12</v>
      </c>
      <c r="G208" t="s">
        <v>26</v>
      </c>
      <c r="H208">
        <v>10</v>
      </c>
      <c r="I208">
        <v>0</v>
      </c>
      <c r="J208" t="s">
        <v>131</v>
      </c>
      <c r="K208" t="s">
        <v>31</v>
      </c>
      <c r="L208" t="s">
        <v>163</v>
      </c>
      <c r="M208" t="b">
        <v>0</v>
      </c>
      <c r="P208"/>
    </row>
    <row r="209" spans="1:16">
      <c r="A209" t="s">
        <v>0</v>
      </c>
      <c r="B209" s="152">
        <v>414936453</v>
      </c>
      <c r="C209">
        <v>56.269273400000003</v>
      </c>
      <c r="D209">
        <v>38.320961150000002</v>
      </c>
      <c r="E209" t="s">
        <v>2</v>
      </c>
      <c r="F209" t="s">
        <v>4</v>
      </c>
      <c r="G209" t="s">
        <v>19</v>
      </c>
      <c r="H209">
        <v>20</v>
      </c>
      <c r="I209">
        <v>0</v>
      </c>
      <c r="K209" t="s">
        <v>29</v>
      </c>
      <c r="M209" t="b">
        <v>0</v>
      </c>
      <c r="P209"/>
    </row>
    <row r="210" spans="1:16">
      <c r="A210" t="s">
        <v>0</v>
      </c>
      <c r="B210" s="152">
        <v>414937349</v>
      </c>
      <c r="C210">
        <v>56.268764300000001</v>
      </c>
      <c r="D210">
        <v>38.342061099999995</v>
      </c>
      <c r="E210" t="s">
        <v>2</v>
      </c>
      <c r="F210" t="s">
        <v>13</v>
      </c>
      <c r="G210" t="s">
        <v>27</v>
      </c>
      <c r="H210">
        <v>5</v>
      </c>
      <c r="I210">
        <v>0</v>
      </c>
      <c r="K210" t="s">
        <v>29</v>
      </c>
      <c r="M210" t="b">
        <v>0</v>
      </c>
      <c r="P210"/>
    </row>
    <row r="211" spans="1:16">
      <c r="A211" t="s">
        <v>0</v>
      </c>
      <c r="B211" s="152">
        <v>422888864</v>
      </c>
      <c r="C211">
        <v>56.640397999999998</v>
      </c>
      <c r="D211">
        <v>38.422140150000004</v>
      </c>
      <c r="E211" t="s">
        <v>2</v>
      </c>
      <c r="F211" t="s">
        <v>11</v>
      </c>
      <c r="G211" t="s">
        <v>20</v>
      </c>
      <c r="H211">
        <v>5</v>
      </c>
      <c r="I211">
        <v>0</v>
      </c>
      <c r="M211" t="b">
        <v>0</v>
      </c>
      <c r="P211"/>
    </row>
    <row r="212" spans="1:16">
      <c r="A212" t="s">
        <v>0</v>
      </c>
      <c r="B212" s="152">
        <v>425095583</v>
      </c>
      <c r="C212">
        <v>56.359816250000002</v>
      </c>
      <c r="D212">
        <v>38.7303687</v>
      </c>
      <c r="E212" s="152" t="s">
        <v>72</v>
      </c>
      <c r="F212" t="s">
        <v>3</v>
      </c>
      <c r="G212" t="s">
        <v>20</v>
      </c>
      <c r="H212">
        <v>8</v>
      </c>
      <c r="I212">
        <v>0</v>
      </c>
      <c r="K212" t="s">
        <v>29</v>
      </c>
      <c r="L212" t="s">
        <v>160</v>
      </c>
      <c r="M212" t="b">
        <v>0</v>
      </c>
      <c r="P212"/>
    </row>
    <row r="213" spans="1:16">
      <c r="A213" t="s">
        <v>0</v>
      </c>
      <c r="B213" s="152">
        <v>429804329</v>
      </c>
      <c r="C213">
        <v>56.306851199999997</v>
      </c>
      <c r="D213">
        <v>38.1800152</v>
      </c>
      <c r="E213" t="s">
        <v>133</v>
      </c>
      <c r="F213" t="s">
        <v>134</v>
      </c>
      <c r="G213" t="s">
        <v>27</v>
      </c>
      <c r="H213">
        <v>17</v>
      </c>
      <c r="I213">
        <v>0</v>
      </c>
      <c r="J213" t="s">
        <v>131</v>
      </c>
      <c r="K213" t="s">
        <v>132</v>
      </c>
      <c r="L213" t="s">
        <v>163</v>
      </c>
      <c r="M213" t="b">
        <v>0</v>
      </c>
      <c r="P213"/>
    </row>
    <row r="214" spans="1:16">
      <c r="A214" t="s">
        <v>0</v>
      </c>
      <c r="B214" s="152">
        <v>431705846</v>
      </c>
      <c r="C214">
        <v>56.257689150000004</v>
      </c>
      <c r="D214">
        <v>38.215733900000004</v>
      </c>
      <c r="E214" s="152" t="s">
        <v>535</v>
      </c>
      <c r="F214" t="s">
        <v>4</v>
      </c>
      <c r="G214" t="s">
        <v>19</v>
      </c>
      <c r="H214">
        <v>26</v>
      </c>
      <c r="I214">
        <v>0</v>
      </c>
      <c r="J214" t="s">
        <v>131</v>
      </c>
      <c r="K214" t="s">
        <v>132</v>
      </c>
      <c r="L214" t="s">
        <v>161</v>
      </c>
      <c r="M214" t="b">
        <v>0</v>
      </c>
      <c r="P214"/>
    </row>
    <row r="215" spans="1:16">
      <c r="A215" t="s">
        <v>0</v>
      </c>
      <c r="B215" s="152">
        <v>431852061</v>
      </c>
      <c r="C215">
        <v>56.307398449999994</v>
      </c>
      <c r="D215">
        <v>38.170393250000004</v>
      </c>
      <c r="E215" s="152" t="s">
        <v>69</v>
      </c>
      <c r="F215" t="s">
        <v>4</v>
      </c>
      <c r="G215" t="s">
        <v>19</v>
      </c>
      <c r="H215">
        <v>21</v>
      </c>
      <c r="I215">
        <v>0</v>
      </c>
      <c r="J215" t="s">
        <v>505</v>
      </c>
      <c r="K215" t="s">
        <v>31</v>
      </c>
      <c r="L215" t="s">
        <v>162</v>
      </c>
      <c r="M215" t="b">
        <v>0</v>
      </c>
      <c r="P215"/>
    </row>
    <row r="216" spans="1:16">
      <c r="A216" t="s">
        <v>0</v>
      </c>
      <c r="B216" s="152">
        <v>432982049</v>
      </c>
      <c r="C216">
        <v>56.30732725</v>
      </c>
      <c r="D216">
        <v>38.152724899999996</v>
      </c>
      <c r="E216" s="152" t="s">
        <v>120</v>
      </c>
      <c r="F216" t="s">
        <v>11</v>
      </c>
      <c r="G216" t="s">
        <v>20</v>
      </c>
      <c r="H216">
        <v>9</v>
      </c>
      <c r="I216">
        <v>0</v>
      </c>
      <c r="J216" t="s">
        <v>131</v>
      </c>
      <c r="K216" t="s">
        <v>132</v>
      </c>
      <c r="L216" t="s">
        <v>160</v>
      </c>
      <c r="M216" t="b">
        <v>0</v>
      </c>
      <c r="P216"/>
    </row>
    <row r="217" spans="1:16">
      <c r="A217" t="s">
        <v>0</v>
      </c>
      <c r="B217" s="152">
        <v>433006511</v>
      </c>
      <c r="C217">
        <v>56.750894850000002</v>
      </c>
      <c r="D217">
        <v>38.851369550000001</v>
      </c>
      <c r="E217" t="s">
        <v>2</v>
      </c>
      <c r="F217" t="s">
        <v>11</v>
      </c>
      <c r="G217" t="s">
        <v>18</v>
      </c>
      <c r="H217">
        <v>2</v>
      </c>
      <c r="I217">
        <v>0</v>
      </c>
      <c r="M217" t="b">
        <v>0</v>
      </c>
      <c r="P217"/>
    </row>
    <row r="218" spans="1:16">
      <c r="A218" t="s">
        <v>0</v>
      </c>
      <c r="B218" s="152">
        <v>433007634</v>
      </c>
      <c r="C218">
        <v>56.320365950000003</v>
      </c>
      <c r="D218">
        <v>38.122991450000001</v>
      </c>
      <c r="E218" t="s">
        <v>2</v>
      </c>
      <c r="F218" t="s">
        <v>583</v>
      </c>
      <c r="G218" t="s">
        <v>584</v>
      </c>
      <c r="H218">
        <v>94</v>
      </c>
      <c r="I218">
        <v>0</v>
      </c>
      <c r="M218" t="b">
        <v>0</v>
      </c>
      <c r="N218" t="s">
        <v>142</v>
      </c>
      <c r="O218">
        <v>4</v>
      </c>
      <c r="P218"/>
    </row>
    <row r="219" spans="1:16">
      <c r="A219" t="s">
        <v>0</v>
      </c>
      <c r="B219" s="152">
        <v>439879552</v>
      </c>
      <c r="C219">
        <v>56.310444050000001</v>
      </c>
      <c r="D219">
        <v>38.133895949999996</v>
      </c>
      <c r="E219" s="152" t="s">
        <v>576</v>
      </c>
      <c r="F219" t="s">
        <v>11</v>
      </c>
      <c r="G219" t="s">
        <v>20</v>
      </c>
      <c r="H219">
        <v>7</v>
      </c>
      <c r="I219">
        <v>0</v>
      </c>
      <c r="L219" t="s">
        <v>151</v>
      </c>
      <c r="M219" t="b">
        <v>0</v>
      </c>
      <c r="P219"/>
    </row>
    <row r="220" spans="1:16">
      <c r="A220" t="s">
        <v>0</v>
      </c>
      <c r="B220" s="152">
        <v>447098306</v>
      </c>
      <c r="C220">
        <v>56.25271205</v>
      </c>
      <c r="D220">
        <v>38.253199299999999</v>
      </c>
      <c r="E220" s="152" t="s">
        <v>115</v>
      </c>
      <c r="F220" t="s">
        <v>4</v>
      </c>
      <c r="G220" t="s">
        <v>567</v>
      </c>
      <c r="H220">
        <v>24</v>
      </c>
      <c r="I220">
        <v>0</v>
      </c>
      <c r="J220" t="s">
        <v>131</v>
      </c>
      <c r="K220" t="s">
        <v>132</v>
      </c>
      <c r="L220" t="s">
        <v>574</v>
      </c>
      <c r="M220" t="b">
        <v>0</v>
      </c>
      <c r="P220"/>
    </row>
    <row r="221" spans="1:16">
      <c r="A221" t="s">
        <v>0</v>
      </c>
      <c r="B221" s="152">
        <v>453538438</v>
      </c>
      <c r="C221">
        <v>56.6121725</v>
      </c>
      <c r="D221">
        <v>38.6729439</v>
      </c>
      <c r="E221" t="s">
        <v>577</v>
      </c>
      <c r="F221" t="s">
        <v>4</v>
      </c>
      <c r="G221" t="s">
        <v>17</v>
      </c>
      <c r="H221">
        <v>19</v>
      </c>
      <c r="I221">
        <v>0</v>
      </c>
      <c r="M221" t="b">
        <v>0</v>
      </c>
      <c r="P221"/>
    </row>
    <row r="222" spans="1:16">
      <c r="A222" t="s">
        <v>0</v>
      </c>
      <c r="B222" s="152">
        <v>497266713</v>
      </c>
      <c r="C222">
        <v>56.506718500000005</v>
      </c>
      <c r="D222">
        <v>38.836598100000003</v>
      </c>
      <c r="E222" s="152" t="s">
        <v>98</v>
      </c>
      <c r="F222" t="s">
        <v>4</v>
      </c>
      <c r="G222" t="s">
        <v>19</v>
      </c>
      <c r="H222">
        <v>15</v>
      </c>
      <c r="I222">
        <v>0</v>
      </c>
      <c r="J222" t="s">
        <v>30</v>
      </c>
      <c r="K222" t="s">
        <v>31</v>
      </c>
      <c r="L222" t="s">
        <v>160</v>
      </c>
      <c r="M222" t="b">
        <v>0</v>
      </c>
      <c r="P222"/>
    </row>
    <row r="223" spans="1:16">
      <c r="A223" t="s">
        <v>0</v>
      </c>
      <c r="B223" s="152">
        <v>521162819</v>
      </c>
      <c r="C223">
        <v>56.305790599999995</v>
      </c>
      <c r="D223">
        <v>38.407706099999999</v>
      </c>
      <c r="E223" s="152" t="s">
        <v>121</v>
      </c>
      <c r="F223" t="s">
        <v>4</v>
      </c>
      <c r="G223" t="s">
        <v>19</v>
      </c>
      <c r="H223">
        <v>10</v>
      </c>
      <c r="I223">
        <v>0</v>
      </c>
      <c r="K223" t="s">
        <v>29</v>
      </c>
      <c r="L223" t="s">
        <v>160</v>
      </c>
      <c r="M223" t="b">
        <v>0</v>
      </c>
      <c r="P223"/>
    </row>
    <row r="224" spans="1:16">
      <c r="A224" t="s">
        <v>0</v>
      </c>
      <c r="B224" s="152">
        <v>526938291</v>
      </c>
      <c r="C224">
        <v>56.998340200000001</v>
      </c>
      <c r="D224">
        <v>38.416195849999994</v>
      </c>
      <c r="E224" s="152" t="s">
        <v>533</v>
      </c>
      <c r="F224" t="s">
        <v>4</v>
      </c>
      <c r="G224" t="s">
        <v>19</v>
      </c>
      <c r="H224">
        <v>27</v>
      </c>
      <c r="I224">
        <v>0</v>
      </c>
      <c r="J224" t="s">
        <v>30</v>
      </c>
      <c r="K224" t="s">
        <v>31</v>
      </c>
      <c r="L224" t="s">
        <v>160</v>
      </c>
      <c r="M224" t="b">
        <v>0</v>
      </c>
      <c r="P224"/>
    </row>
    <row r="225" spans="1:16">
      <c r="A225" t="s">
        <v>0</v>
      </c>
      <c r="B225" s="152">
        <v>526938298</v>
      </c>
      <c r="C225">
        <v>56.998396100000001</v>
      </c>
      <c r="D225">
        <v>38.414758300000003</v>
      </c>
      <c r="E225" s="152" t="s">
        <v>49</v>
      </c>
      <c r="F225" t="s">
        <v>4</v>
      </c>
      <c r="G225" t="s">
        <v>19</v>
      </c>
      <c r="H225">
        <v>27</v>
      </c>
      <c r="I225">
        <v>0</v>
      </c>
      <c r="J225" t="s">
        <v>30</v>
      </c>
      <c r="K225" t="s">
        <v>31</v>
      </c>
      <c r="L225" t="s">
        <v>160</v>
      </c>
      <c r="M225" t="b">
        <v>0</v>
      </c>
      <c r="P225"/>
    </row>
    <row r="226" spans="1:16">
      <c r="A226" t="s">
        <v>0</v>
      </c>
      <c r="B226" s="152">
        <v>533945305</v>
      </c>
      <c r="C226">
        <v>56.918295549999996</v>
      </c>
      <c r="D226">
        <v>38.261902849999998</v>
      </c>
      <c r="E226" s="152" t="s">
        <v>77</v>
      </c>
      <c r="F226" t="s">
        <v>4</v>
      </c>
      <c r="G226" t="s">
        <v>19</v>
      </c>
      <c r="H226">
        <v>31</v>
      </c>
      <c r="I226">
        <v>0</v>
      </c>
      <c r="J226" t="s">
        <v>131</v>
      </c>
      <c r="K226" t="s">
        <v>31</v>
      </c>
      <c r="L226" t="s">
        <v>159</v>
      </c>
      <c r="M226" t="b">
        <v>0</v>
      </c>
      <c r="P226"/>
    </row>
    <row r="227" spans="1:16">
      <c r="A227" t="s">
        <v>0</v>
      </c>
      <c r="B227" s="152">
        <v>533945521</v>
      </c>
      <c r="C227">
        <v>56.910561250000001</v>
      </c>
      <c r="D227">
        <v>38.362984600000004</v>
      </c>
      <c r="E227" t="s">
        <v>536</v>
      </c>
      <c r="F227" t="s">
        <v>4</v>
      </c>
      <c r="G227" t="s">
        <v>17</v>
      </c>
      <c r="H227">
        <v>13</v>
      </c>
      <c r="I227">
        <v>0</v>
      </c>
      <c r="K227" t="s">
        <v>29</v>
      </c>
      <c r="M227" t="b">
        <v>0</v>
      </c>
      <c r="P227"/>
    </row>
    <row r="228" spans="1:16">
      <c r="A228" t="s">
        <v>0</v>
      </c>
      <c r="B228" s="152">
        <v>551734630</v>
      </c>
      <c r="C228">
        <v>56.309022800000001</v>
      </c>
      <c r="D228">
        <v>38.130159800000001</v>
      </c>
      <c r="E228" t="s">
        <v>2</v>
      </c>
      <c r="F228" t="s">
        <v>128</v>
      </c>
      <c r="G228" t="s">
        <v>129</v>
      </c>
      <c r="H228">
        <v>25</v>
      </c>
      <c r="I228">
        <v>0</v>
      </c>
      <c r="J228" t="s">
        <v>30</v>
      </c>
      <c r="K228" t="s">
        <v>31</v>
      </c>
      <c r="M228" t="b">
        <v>0</v>
      </c>
      <c r="N228" t="s">
        <v>142</v>
      </c>
      <c r="O228">
        <v>4</v>
      </c>
      <c r="P228"/>
    </row>
    <row r="229" spans="1:16">
      <c r="A229" t="s">
        <v>0</v>
      </c>
      <c r="B229" s="152">
        <v>551871953</v>
      </c>
      <c r="C229">
        <v>56.309389750000001</v>
      </c>
      <c r="D229">
        <v>38.131652799999998</v>
      </c>
      <c r="E229" t="s">
        <v>2</v>
      </c>
      <c r="F229" t="s">
        <v>128</v>
      </c>
      <c r="G229" t="s">
        <v>129</v>
      </c>
      <c r="H229">
        <v>23</v>
      </c>
      <c r="I229">
        <v>9</v>
      </c>
      <c r="J229" t="s">
        <v>30</v>
      </c>
      <c r="K229" t="s">
        <v>31</v>
      </c>
      <c r="M229" t="b">
        <v>1</v>
      </c>
      <c r="N229" t="s">
        <v>142</v>
      </c>
      <c r="O229">
        <v>4</v>
      </c>
      <c r="P229"/>
    </row>
    <row r="230" spans="1:16">
      <c r="A230" t="s">
        <v>0</v>
      </c>
      <c r="B230" s="152">
        <v>554681103</v>
      </c>
      <c r="C230">
        <v>56.31200175</v>
      </c>
      <c r="D230">
        <v>38.1320044</v>
      </c>
      <c r="E230" t="s">
        <v>2</v>
      </c>
      <c r="F230" t="s">
        <v>128</v>
      </c>
      <c r="G230" t="s">
        <v>129</v>
      </c>
      <c r="H230">
        <v>33</v>
      </c>
      <c r="I230">
        <v>0</v>
      </c>
      <c r="J230" t="s">
        <v>30</v>
      </c>
      <c r="K230" t="s">
        <v>31</v>
      </c>
      <c r="M230" t="b">
        <v>0</v>
      </c>
      <c r="N230" t="s">
        <v>142</v>
      </c>
      <c r="O230">
        <v>4</v>
      </c>
      <c r="P230"/>
    </row>
    <row r="231" spans="1:16">
      <c r="A231" t="s">
        <v>0</v>
      </c>
      <c r="B231" s="152">
        <v>555198500</v>
      </c>
      <c r="C231">
        <v>56.308397450000001</v>
      </c>
      <c r="D231">
        <v>38.133649800000001</v>
      </c>
      <c r="E231" s="152" t="s">
        <v>154</v>
      </c>
      <c r="F231" t="s">
        <v>11</v>
      </c>
      <c r="G231" t="s">
        <v>20</v>
      </c>
      <c r="H231">
        <v>8</v>
      </c>
      <c r="I231">
        <v>14.5</v>
      </c>
      <c r="J231" t="s">
        <v>30</v>
      </c>
      <c r="K231" t="s">
        <v>31</v>
      </c>
      <c r="L231" t="s">
        <v>151</v>
      </c>
      <c r="M231" t="b">
        <v>1</v>
      </c>
      <c r="P231"/>
    </row>
    <row r="232" spans="1:16">
      <c r="A232" t="s">
        <v>0</v>
      </c>
      <c r="B232" s="152">
        <v>560953140</v>
      </c>
      <c r="C232">
        <v>56.206959249999997</v>
      </c>
      <c r="D232">
        <v>38.0388363</v>
      </c>
      <c r="E232" t="s">
        <v>521</v>
      </c>
      <c r="F232" t="s">
        <v>522</v>
      </c>
      <c r="H232">
        <v>5</v>
      </c>
      <c r="I232">
        <v>0</v>
      </c>
      <c r="M232" t="b">
        <v>0</v>
      </c>
      <c r="P232"/>
    </row>
    <row r="233" spans="1:16">
      <c r="A233" t="s">
        <v>0</v>
      </c>
      <c r="B233" s="152">
        <v>561350494</v>
      </c>
      <c r="C233">
        <v>56.73165805</v>
      </c>
      <c r="D233">
        <v>38.730734050000002</v>
      </c>
      <c r="E233" s="152" t="s">
        <v>524</v>
      </c>
      <c r="F233" t="s">
        <v>11</v>
      </c>
      <c r="G233" t="s">
        <v>20</v>
      </c>
      <c r="H233">
        <v>8</v>
      </c>
      <c r="I233">
        <v>0</v>
      </c>
      <c r="J233" t="s">
        <v>30</v>
      </c>
      <c r="K233" t="s">
        <v>31</v>
      </c>
      <c r="L233" t="s">
        <v>160</v>
      </c>
      <c r="M233" t="b">
        <v>0</v>
      </c>
      <c r="P233"/>
    </row>
    <row r="234" spans="1:16">
      <c r="A234" t="s">
        <v>0</v>
      </c>
      <c r="B234" s="152">
        <v>561632132</v>
      </c>
      <c r="C234">
        <v>56.732085900000001</v>
      </c>
      <c r="D234">
        <v>38.837361549999997</v>
      </c>
      <c r="E234" s="152" t="s">
        <v>111</v>
      </c>
      <c r="F234" t="s">
        <v>3</v>
      </c>
      <c r="G234" t="s">
        <v>19</v>
      </c>
      <c r="H234">
        <v>11</v>
      </c>
      <c r="I234">
        <v>0</v>
      </c>
      <c r="J234" t="s">
        <v>505</v>
      </c>
      <c r="K234" t="s">
        <v>31</v>
      </c>
      <c r="L234" t="s">
        <v>159</v>
      </c>
      <c r="M234" t="b">
        <v>0</v>
      </c>
      <c r="P234"/>
    </row>
    <row r="235" spans="1:16">
      <c r="A235" t="s">
        <v>0</v>
      </c>
      <c r="B235" s="152">
        <v>562956561</v>
      </c>
      <c r="C235">
        <v>56.672390899999996</v>
      </c>
      <c r="D235">
        <v>38.0952518</v>
      </c>
      <c r="E235" s="152" t="s">
        <v>41</v>
      </c>
      <c r="F235" t="s">
        <v>134</v>
      </c>
      <c r="G235" t="s">
        <v>571</v>
      </c>
      <c r="H235">
        <v>7</v>
      </c>
      <c r="I235">
        <v>0</v>
      </c>
      <c r="J235" t="s">
        <v>131</v>
      </c>
      <c r="K235" t="s">
        <v>132</v>
      </c>
      <c r="L235" t="s">
        <v>162</v>
      </c>
      <c r="M235" t="b">
        <v>0</v>
      </c>
      <c r="P235"/>
    </row>
    <row r="236" spans="1:16">
      <c r="A236" t="s">
        <v>0</v>
      </c>
      <c r="B236" s="152">
        <v>566870728</v>
      </c>
      <c r="C236">
        <v>56.590722700000001</v>
      </c>
      <c r="D236">
        <v>38.274139750000003</v>
      </c>
      <c r="E236" s="152" t="s">
        <v>85</v>
      </c>
      <c r="F236" t="s">
        <v>4</v>
      </c>
      <c r="G236" t="s">
        <v>19</v>
      </c>
      <c r="H236">
        <v>23</v>
      </c>
      <c r="I236">
        <v>0</v>
      </c>
      <c r="J236" t="s">
        <v>301</v>
      </c>
      <c r="K236" t="s">
        <v>31</v>
      </c>
      <c r="L236" t="s">
        <v>149</v>
      </c>
      <c r="M236" t="b">
        <v>0</v>
      </c>
      <c r="P236"/>
    </row>
    <row r="237" spans="1:16">
      <c r="A237" t="s">
        <v>0</v>
      </c>
      <c r="B237" s="152">
        <v>571277625</v>
      </c>
      <c r="C237">
        <v>56.481890750000005</v>
      </c>
      <c r="D237">
        <v>38.204901449999994</v>
      </c>
      <c r="E237" s="152" t="s">
        <v>100</v>
      </c>
      <c r="F237" t="s">
        <v>4</v>
      </c>
      <c r="G237" t="s">
        <v>19</v>
      </c>
      <c r="H237">
        <v>25</v>
      </c>
      <c r="I237">
        <v>0</v>
      </c>
      <c r="J237" t="s">
        <v>182</v>
      </c>
      <c r="K237" t="s">
        <v>31</v>
      </c>
      <c r="L237" t="s">
        <v>149</v>
      </c>
      <c r="M237" t="b">
        <v>0</v>
      </c>
      <c r="P237"/>
    </row>
    <row r="238" spans="1:16">
      <c r="A238" t="s">
        <v>0</v>
      </c>
      <c r="B238" s="152">
        <v>586059532</v>
      </c>
      <c r="C238">
        <v>56.337313399999999</v>
      </c>
      <c r="D238">
        <v>38.99930225</v>
      </c>
      <c r="E238" t="s">
        <v>2</v>
      </c>
      <c r="F238" t="s">
        <v>3</v>
      </c>
      <c r="G238" t="s">
        <v>18</v>
      </c>
      <c r="H238">
        <v>7</v>
      </c>
      <c r="I238">
        <v>0</v>
      </c>
      <c r="M238" t="b">
        <v>0</v>
      </c>
      <c r="P238"/>
    </row>
    <row r="239" spans="1:16">
      <c r="A239" t="s">
        <v>0</v>
      </c>
      <c r="B239" s="152">
        <v>620682774</v>
      </c>
      <c r="C239">
        <v>56.763849950000001</v>
      </c>
      <c r="D239">
        <v>38.720207700000003</v>
      </c>
      <c r="E239" t="s">
        <v>2</v>
      </c>
      <c r="F239" t="s">
        <v>3</v>
      </c>
      <c r="G239" t="s">
        <v>17</v>
      </c>
      <c r="H239">
        <v>14</v>
      </c>
      <c r="I239">
        <v>0</v>
      </c>
      <c r="M239" t="b">
        <v>0</v>
      </c>
      <c r="P239"/>
    </row>
    <row r="240" spans="1:16">
      <c r="A240" t="s">
        <v>0</v>
      </c>
      <c r="B240" s="152">
        <v>621316415</v>
      </c>
      <c r="C240">
        <v>56.302487149999997</v>
      </c>
      <c r="D240">
        <v>38.139847799999998</v>
      </c>
      <c r="E240" t="s">
        <v>2</v>
      </c>
      <c r="F240" t="s">
        <v>581</v>
      </c>
      <c r="H240">
        <v>9</v>
      </c>
      <c r="I240">
        <v>25</v>
      </c>
      <c r="J240" t="s">
        <v>131</v>
      </c>
      <c r="K240" t="s">
        <v>132</v>
      </c>
      <c r="M240" t="b">
        <v>0</v>
      </c>
      <c r="P240"/>
    </row>
    <row r="241" spans="1:17">
      <c r="A241" t="s">
        <v>0</v>
      </c>
      <c r="B241" s="152">
        <v>622905450</v>
      </c>
      <c r="C241">
        <v>56.2890783</v>
      </c>
      <c r="D241">
        <v>38.176084750000001</v>
      </c>
      <c r="E241" t="s">
        <v>2</v>
      </c>
      <c r="F241" t="s">
        <v>581</v>
      </c>
      <c r="H241">
        <v>9</v>
      </c>
      <c r="I241">
        <v>20</v>
      </c>
      <c r="J241" t="s">
        <v>131</v>
      </c>
      <c r="K241" t="s">
        <v>132</v>
      </c>
      <c r="L241" t="s">
        <v>161</v>
      </c>
      <c r="M241" t="b">
        <v>0</v>
      </c>
      <c r="P241"/>
    </row>
    <row r="242" spans="1:17">
      <c r="A242" t="s">
        <v>1</v>
      </c>
      <c r="B242" s="152">
        <v>2772026</v>
      </c>
      <c r="C242">
        <v>56.45126295</v>
      </c>
      <c r="D242">
        <v>38.0993511</v>
      </c>
      <c r="E242" s="152" t="s">
        <v>122</v>
      </c>
      <c r="F242" t="s">
        <v>4</v>
      </c>
      <c r="G242" t="s">
        <v>19</v>
      </c>
      <c r="H242">
        <v>20</v>
      </c>
      <c r="I242">
        <v>0</v>
      </c>
      <c r="J242" t="s">
        <v>131</v>
      </c>
      <c r="K242" t="s">
        <v>31</v>
      </c>
      <c r="L242" t="s">
        <v>159</v>
      </c>
      <c r="M242" t="b">
        <v>0</v>
      </c>
      <c r="P242"/>
    </row>
    <row r="243" spans="1:17">
      <c r="A243" t="s">
        <v>1</v>
      </c>
      <c r="B243" s="152">
        <v>2880779</v>
      </c>
      <c r="C243">
        <v>56.461368199999995</v>
      </c>
      <c r="D243">
        <v>38.4345079</v>
      </c>
      <c r="E243" s="152" t="s">
        <v>123</v>
      </c>
      <c r="F243" t="s">
        <v>4</v>
      </c>
      <c r="G243" t="s">
        <v>19</v>
      </c>
      <c r="H243">
        <v>11</v>
      </c>
      <c r="I243">
        <v>0</v>
      </c>
      <c r="J243" t="s">
        <v>30</v>
      </c>
      <c r="K243" t="s">
        <v>31</v>
      </c>
      <c r="L243" t="s">
        <v>160</v>
      </c>
      <c r="M243" t="b">
        <v>0</v>
      </c>
      <c r="P243"/>
    </row>
    <row r="244" spans="1:17">
      <c r="A244" t="s">
        <v>1</v>
      </c>
      <c r="B244" s="152">
        <v>3554902</v>
      </c>
      <c r="C244">
        <v>56.43700115</v>
      </c>
      <c r="D244">
        <v>38.251968849999997</v>
      </c>
      <c r="E244" s="152" t="s">
        <v>124</v>
      </c>
      <c r="F244" t="s">
        <v>4</v>
      </c>
      <c r="G244" t="s">
        <v>19</v>
      </c>
      <c r="H244">
        <v>16</v>
      </c>
      <c r="I244">
        <v>0</v>
      </c>
      <c r="J244" t="s">
        <v>30</v>
      </c>
      <c r="K244" t="s">
        <v>31</v>
      </c>
      <c r="L244" t="s">
        <v>160</v>
      </c>
      <c r="M244" t="b">
        <v>0</v>
      </c>
      <c r="P244"/>
    </row>
    <row r="245" spans="1:17">
      <c r="A245" t="s">
        <v>1</v>
      </c>
      <c r="B245" s="152">
        <v>4436425</v>
      </c>
      <c r="C245">
        <v>56.287565900000004</v>
      </c>
      <c r="D245">
        <v>38.468045500000002</v>
      </c>
      <c r="E245" s="152" t="s">
        <v>62</v>
      </c>
      <c r="F245" t="s">
        <v>4</v>
      </c>
      <c r="G245" t="s">
        <v>19</v>
      </c>
      <c r="H245">
        <v>18</v>
      </c>
      <c r="I245">
        <v>0</v>
      </c>
      <c r="J245" t="s">
        <v>30</v>
      </c>
      <c r="K245" t="s">
        <v>31</v>
      </c>
      <c r="L245" t="s">
        <v>162</v>
      </c>
      <c r="M245" t="b">
        <v>0</v>
      </c>
      <c r="P245"/>
    </row>
    <row r="246" spans="1:17">
      <c r="A246" t="s">
        <v>1</v>
      </c>
      <c r="B246" s="152">
        <v>6637079</v>
      </c>
      <c r="C246">
        <v>56.31033575</v>
      </c>
      <c r="D246">
        <v>38.130605250000002</v>
      </c>
      <c r="E246" s="152" t="s">
        <v>125</v>
      </c>
      <c r="F246" t="s">
        <v>6</v>
      </c>
      <c r="G246" t="s">
        <v>19</v>
      </c>
      <c r="H246">
        <v>35</v>
      </c>
      <c r="I246">
        <v>50</v>
      </c>
      <c r="J246" t="s">
        <v>30</v>
      </c>
      <c r="K246" t="s">
        <v>31</v>
      </c>
      <c r="L246" t="s">
        <v>158</v>
      </c>
      <c r="M246" t="b">
        <v>1</v>
      </c>
      <c r="N246" t="s">
        <v>145</v>
      </c>
      <c r="O246">
        <v>5</v>
      </c>
      <c r="P246">
        <v>4</v>
      </c>
      <c r="Q246" t="s">
        <v>548</v>
      </c>
    </row>
    <row r="247" spans="1:17">
      <c r="A247" t="s">
        <v>1</v>
      </c>
      <c r="B247" s="152">
        <v>6642589</v>
      </c>
      <c r="C247">
        <v>56.309522650000005</v>
      </c>
      <c r="D247">
        <v>38.130620899999997</v>
      </c>
      <c r="E247" s="152" t="s">
        <v>84</v>
      </c>
      <c r="F247" t="s">
        <v>4</v>
      </c>
      <c r="G247" t="s">
        <v>19</v>
      </c>
      <c r="H247">
        <v>0</v>
      </c>
      <c r="I247">
        <v>32</v>
      </c>
      <c r="J247" t="s">
        <v>520</v>
      </c>
      <c r="K247" t="s">
        <v>31</v>
      </c>
      <c r="L247" t="s">
        <v>573</v>
      </c>
      <c r="M247" t="b">
        <v>1</v>
      </c>
      <c r="N247" t="s">
        <v>145</v>
      </c>
      <c r="O247">
        <v>5</v>
      </c>
      <c r="P247">
        <v>3</v>
      </c>
      <c r="Q247" t="s">
        <v>578</v>
      </c>
    </row>
    <row r="248" spans="1:17">
      <c r="A248" t="s">
        <v>1</v>
      </c>
      <c r="B248" s="152">
        <v>6648137</v>
      </c>
      <c r="C248">
        <v>56.299432049999993</v>
      </c>
      <c r="D248">
        <v>38.1244625</v>
      </c>
      <c r="E248" s="152" t="s">
        <v>126</v>
      </c>
      <c r="F248" t="s">
        <v>4</v>
      </c>
      <c r="G248" t="s">
        <v>19</v>
      </c>
      <c r="H248">
        <v>13</v>
      </c>
      <c r="I248">
        <v>16</v>
      </c>
      <c r="J248" t="s">
        <v>182</v>
      </c>
      <c r="K248" t="s">
        <v>31</v>
      </c>
      <c r="L248" t="s">
        <v>160</v>
      </c>
      <c r="M248" t="b">
        <v>1</v>
      </c>
      <c r="P248"/>
    </row>
    <row r="249" spans="1:17">
      <c r="A249" t="s">
        <v>1</v>
      </c>
      <c r="B249" s="152">
        <v>6648138</v>
      </c>
      <c r="C249">
        <v>56.299653050000003</v>
      </c>
      <c r="D249">
        <v>38.1247471</v>
      </c>
      <c r="E249" s="152" t="s">
        <v>72</v>
      </c>
      <c r="F249" t="s">
        <v>4</v>
      </c>
      <c r="G249" t="s">
        <v>19</v>
      </c>
      <c r="H249">
        <v>27</v>
      </c>
      <c r="I249">
        <v>29</v>
      </c>
      <c r="J249" t="s">
        <v>135</v>
      </c>
      <c r="K249" t="s">
        <v>31</v>
      </c>
      <c r="L249" t="s">
        <v>151</v>
      </c>
      <c r="M249" t="b">
        <v>1</v>
      </c>
      <c r="N249" t="s">
        <v>145</v>
      </c>
      <c r="O249">
        <v>5</v>
      </c>
      <c r="P249">
        <v>4</v>
      </c>
      <c r="Q249" t="s">
        <v>582</v>
      </c>
    </row>
    <row r="250" spans="1:17">
      <c r="A250" t="s">
        <v>1</v>
      </c>
      <c r="B250" s="152">
        <v>6650308</v>
      </c>
      <c r="C250">
        <v>56.310202250000003</v>
      </c>
      <c r="D250">
        <v>38.132328899999997</v>
      </c>
      <c r="E250" t="s">
        <v>127</v>
      </c>
      <c r="F250" t="s">
        <v>5</v>
      </c>
      <c r="G250" t="s">
        <v>28</v>
      </c>
      <c r="H250">
        <v>13</v>
      </c>
      <c r="I250">
        <v>32</v>
      </c>
      <c r="J250" t="s">
        <v>30</v>
      </c>
      <c r="K250" t="s">
        <v>31</v>
      </c>
      <c r="M250" t="b">
        <v>1</v>
      </c>
      <c r="N250" t="s">
        <v>145</v>
      </c>
      <c r="O250">
        <v>5</v>
      </c>
      <c r="P250">
        <v>3</v>
      </c>
      <c r="Q250" t="s">
        <v>549</v>
      </c>
    </row>
    <row r="251" spans="1:17">
      <c r="A251" t="s">
        <v>1</v>
      </c>
      <c r="B251" s="152">
        <v>7926015</v>
      </c>
      <c r="C251">
        <v>56.3099232</v>
      </c>
      <c r="D251">
        <v>38.130187849999999</v>
      </c>
      <c r="E251" s="152" t="s">
        <v>44</v>
      </c>
      <c r="F251" t="s">
        <v>4</v>
      </c>
      <c r="G251" t="s">
        <v>19</v>
      </c>
      <c r="H251">
        <v>16</v>
      </c>
      <c r="I251">
        <v>32</v>
      </c>
      <c r="J251" t="s">
        <v>30</v>
      </c>
      <c r="K251" t="s">
        <v>31</v>
      </c>
      <c r="L251" t="s">
        <v>158</v>
      </c>
      <c r="M251" t="b">
        <v>1</v>
      </c>
      <c r="N251" t="s">
        <v>145</v>
      </c>
      <c r="O251">
        <v>5</v>
      </c>
      <c r="P251">
        <v>4</v>
      </c>
      <c r="Q251" t="s">
        <v>544</v>
      </c>
    </row>
    <row r="252" spans="1:17">
      <c r="A252" t="s">
        <v>1</v>
      </c>
      <c r="B252" s="152">
        <v>7932909</v>
      </c>
      <c r="C252">
        <v>56.315432299999998</v>
      </c>
      <c r="D252">
        <v>38.131198249999997</v>
      </c>
      <c r="E252" s="152" t="s">
        <v>85</v>
      </c>
      <c r="F252" t="s">
        <v>4</v>
      </c>
      <c r="G252" t="s">
        <v>19</v>
      </c>
      <c r="H252">
        <v>0</v>
      </c>
      <c r="I252">
        <v>25</v>
      </c>
      <c r="J252" t="s">
        <v>200</v>
      </c>
      <c r="K252" t="s">
        <v>31</v>
      </c>
      <c r="L252" t="s">
        <v>162</v>
      </c>
      <c r="M252" t="b">
        <v>1</v>
      </c>
      <c r="N252" t="s">
        <v>145</v>
      </c>
      <c r="O252">
        <v>5</v>
      </c>
      <c r="P252">
        <v>3</v>
      </c>
      <c r="Q252" t="s">
        <v>550</v>
      </c>
    </row>
    <row r="253" spans="1:17">
      <c r="A253" t="s">
        <v>1</v>
      </c>
      <c r="B253" s="152">
        <v>7944700</v>
      </c>
      <c r="C253">
        <v>56.308627250000001</v>
      </c>
      <c r="D253">
        <v>38.132786100000004</v>
      </c>
      <c r="E253" s="152" t="s">
        <v>152</v>
      </c>
      <c r="F253" t="s">
        <v>4</v>
      </c>
      <c r="G253" t="s">
        <v>19</v>
      </c>
      <c r="H253">
        <v>17</v>
      </c>
      <c r="I253">
        <v>19</v>
      </c>
      <c r="J253" t="s">
        <v>30</v>
      </c>
      <c r="K253" t="s">
        <v>31</v>
      </c>
      <c r="L253" t="s">
        <v>573</v>
      </c>
      <c r="M253" t="b">
        <v>1</v>
      </c>
      <c r="N253" t="s">
        <v>145</v>
      </c>
      <c r="O253">
        <v>5</v>
      </c>
      <c r="P253">
        <v>4</v>
      </c>
      <c r="Q253" t="s">
        <v>546</v>
      </c>
    </row>
    <row r="254" spans="1:17">
      <c r="A254" t="s">
        <v>1</v>
      </c>
      <c r="B254" s="152">
        <v>7948571</v>
      </c>
      <c r="C254">
        <v>56.307128800000001</v>
      </c>
      <c r="D254">
        <v>38.178900549999994</v>
      </c>
      <c r="E254" s="152" t="s">
        <v>119</v>
      </c>
      <c r="F254" t="s">
        <v>6</v>
      </c>
      <c r="G254" t="s">
        <v>19</v>
      </c>
      <c r="H254">
        <v>28</v>
      </c>
      <c r="I254">
        <v>34</v>
      </c>
      <c r="J254" t="s">
        <v>131</v>
      </c>
      <c r="K254" t="s">
        <v>132</v>
      </c>
      <c r="L254" t="s">
        <v>163</v>
      </c>
      <c r="M254" t="b">
        <v>1</v>
      </c>
      <c r="P254"/>
    </row>
    <row r="255" spans="1:17">
      <c r="A255" t="s">
        <v>1</v>
      </c>
      <c r="B255" s="152">
        <v>7974036</v>
      </c>
      <c r="C255">
        <v>56.60154575</v>
      </c>
      <c r="D255">
        <v>38.629794750000002</v>
      </c>
      <c r="E255" s="152" t="s">
        <v>44</v>
      </c>
      <c r="F255" t="s">
        <v>4</v>
      </c>
      <c r="G255" t="s">
        <v>19</v>
      </c>
      <c r="H255">
        <v>32</v>
      </c>
      <c r="I255">
        <v>32</v>
      </c>
      <c r="J255" t="s">
        <v>30</v>
      </c>
      <c r="K255" t="s">
        <v>31</v>
      </c>
      <c r="L255" t="s">
        <v>149</v>
      </c>
      <c r="M255" t="b">
        <v>1</v>
      </c>
      <c r="P255"/>
    </row>
    <row r="256" spans="1:17">
      <c r="A256" t="s">
        <v>1</v>
      </c>
      <c r="B256" s="152">
        <v>8635484</v>
      </c>
      <c r="C256">
        <v>56.309687850000003</v>
      </c>
      <c r="D256">
        <v>38.129469749999998</v>
      </c>
      <c r="E256" s="152" t="s">
        <v>42</v>
      </c>
      <c r="F256" t="s">
        <v>6</v>
      </c>
      <c r="G256" t="s">
        <v>19</v>
      </c>
      <c r="H256">
        <v>0</v>
      </c>
      <c r="I256">
        <v>20</v>
      </c>
      <c r="J256" t="s">
        <v>30</v>
      </c>
      <c r="K256" t="s">
        <v>31</v>
      </c>
      <c r="L256" t="s">
        <v>158</v>
      </c>
      <c r="M256" t="b">
        <v>1</v>
      </c>
      <c r="N256" t="s">
        <v>145</v>
      </c>
      <c r="O256">
        <v>5</v>
      </c>
      <c r="P256">
        <v>4</v>
      </c>
      <c r="Q256" t="s">
        <v>585</v>
      </c>
    </row>
    <row r="257" spans="1:17">
      <c r="A257" t="s">
        <v>1</v>
      </c>
      <c r="B257" s="152">
        <v>8635531</v>
      </c>
      <c r="C257">
        <v>56.309602550000001</v>
      </c>
      <c r="D257">
        <v>38.129541349999997</v>
      </c>
      <c r="E257" t="s">
        <v>150</v>
      </c>
      <c r="F257" t="s">
        <v>4</v>
      </c>
      <c r="G257" t="s">
        <v>19</v>
      </c>
      <c r="H257">
        <v>12</v>
      </c>
      <c r="I257">
        <v>15</v>
      </c>
      <c r="J257" t="s">
        <v>30</v>
      </c>
      <c r="K257" t="s">
        <v>31</v>
      </c>
      <c r="L257" t="s">
        <v>158</v>
      </c>
      <c r="M257" t="b">
        <v>1</v>
      </c>
      <c r="N257" t="s">
        <v>145</v>
      </c>
      <c r="O257">
        <v>4</v>
      </c>
      <c r="P257">
        <v>4</v>
      </c>
      <c r="Q257" t="s">
        <v>544</v>
      </c>
    </row>
    <row r="258" spans="1:17">
      <c r="A258" t="s">
        <v>1</v>
      </c>
      <c r="B258" s="152">
        <v>8649588</v>
      </c>
      <c r="C258">
        <v>56.303467150000003</v>
      </c>
      <c r="D258">
        <v>38.131124299999996</v>
      </c>
      <c r="E258" s="152" t="s">
        <v>62</v>
      </c>
      <c r="F258" t="s">
        <v>4</v>
      </c>
      <c r="G258" t="s">
        <v>19</v>
      </c>
      <c r="H258">
        <v>0</v>
      </c>
      <c r="I258">
        <v>26</v>
      </c>
      <c r="J258" t="s">
        <v>333</v>
      </c>
      <c r="K258" t="s">
        <v>31</v>
      </c>
      <c r="L258" t="s">
        <v>151</v>
      </c>
      <c r="M258" t="b">
        <v>1</v>
      </c>
      <c r="P258"/>
    </row>
    <row r="259" spans="1:17">
      <c r="C259"/>
      <c r="D259"/>
      <c r="P259"/>
    </row>
    <row r="260" spans="1:17">
      <c r="C260"/>
      <c r="D260"/>
      <c r="P260"/>
    </row>
    <row r="261" spans="1:17">
      <c r="C261"/>
      <c r="D261"/>
      <c r="P261"/>
    </row>
    <row r="262" spans="1:17">
      <c r="C262"/>
      <c r="D262"/>
      <c r="P262"/>
    </row>
    <row r="263" spans="1:17">
      <c r="C263"/>
      <c r="D263"/>
      <c r="P263"/>
    </row>
    <row r="264" spans="1:17">
      <c r="C264"/>
      <c r="D264"/>
      <c r="P264"/>
    </row>
    <row r="265" spans="1:17">
      <c r="C265"/>
      <c r="D265"/>
      <c r="P265"/>
    </row>
    <row r="266" spans="1:17">
      <c r="C266"/>
      <c r="D266"/>
      <c r="P266"/>
    </row>
    <row r="267" spans="1:17">
      <c r="C267"/>
      <c r="D267"/>
      <c r="P267"/>
    </row>
    <row r="268" spans="1:17">
      <c r="C268"/>
      <c r="D268"/>
      <c r="P268"/>
    </row>
    <row r="269" spans="1:17">
      <c r="C269"/>
      <c r="D269"/>
      <c r="P269"/>
    </row>
    <row r="270" spans="1:17">
      <c r="C270"/>
      <c r="D270"/>
      <c r="P270"/>
    </row>
    <row r="271" spans="1:17">
      <c r="C271"/>
      <c r="D271"/>
      <c r="P271"/>
    </row>
    <row r="272" spans="1:17">
      <c r="C272"/>
      <c r="D272"/>
      <c r="P272"/>
    </row>
    <row r="273" spans="3:16">
      <c r="C273"/>
      <c r="D273"/>
      <c r="P273"/>
    </row>
    <row r="274" spans="3:16">
      <c r="C274"/>
      <c r="D274"/>
      <c r="P274"/>
    </row>
    <row r="275" spans="3:16">
      <c r="C275"/>
      <c r="D275"/>
      <c r="P275"/>
    </row>
    <row r="276" spans="3:16">
      <c r="C276"/>
      <c r="D276"/>
      <c r="P276"/>
    </row>
    <row r="277" spans="3:16">
      <c r="C277"/>
      <c r="D277"/>
      <c r="P277"/>
    </row>
    <row r="278" spans="3:16">
      <c r="C278"/>
      <c r="D278"/>
      <c r="P278"/>
    </row>
    <row r="279" spans="3:16">
      <c r="C279"/>
      <c r="D279"/>
      <c r="P279"/>
    </row>
    <row r="280" spans="3:16">
      <c r="C280"/>
      <c r="D280"/>
      <c r="P280"/>
    </row>
    <row r="281" spans="3:16">
      <c r="C281"/>
      <c r="D281"/>
      <c r="P281"/>
    </row>
    <row r="282" spans="3:16">
      <c r="C282"/>
      <c r="D282"/>
      <c r="P282"/>
    </row>
    <row r="283" spans="3:16">
      <c r="C283"/>
      <c r="D283"/>
      <c r="P283"/>
    </row>
    <row r="284" spans="3:16">
      <c r="C284"/>
      <c r="D284"/>
      <c r="P284"/>
    </row>
    <row r="285" spans="3:16">
      <c r="C285"/>
      <c r="D285"/>
      <c r="P285"/>
    </row>
    <row r="286" spans="3:16">
      <c r="C286"/>
      <c r="D286"/>
      <c r="P286"/>
    </row>
    <row r="287" spans="3:16">
      <c r="C287"/>
      <c r="D287"/>
      <c r="P287"/>
    </row>
    <row r="288" spans="3:16">
      <c r="C288"/>
      <c r="D288"/>
      <c r="P288"/>
    </row>
    <row r="289" spans="3:16">
      <c r="C289"/>
      <c r="D289"/>
      <c r="P289"/>
    </row>
    <row r="290" spans="3:16">
      <c r="C290"/>
      <c r="D290"/>
      <c r="P290"/>
    </row>
    <row r="291" spans="3:16">
      <c r="C291"/>
      <c r="D291"/>
      <c r="P291"/>
    </row>
    <row r="292" spans="3:16">
      <c r="C292"/>
      <c r="D292"/>
      <c r="P292"/>
    </row>
    <row r="293" spans="3:16">
      <c r="C293"/>
      <c r="D293"/>
      <c r="P293"/>
    </row>
    <row r="294" spans="3:16">
      <c r="C294"/>
      <c r="D294"/>
      <c r="P294"/>
    </row>
    <row r="295" spans="3:16">
      <c r="C295"/>
      <c r="D295"/>
      <c r="P295"/>
    </row>
    <row r="296" spans="3:16">
      <c r="C296"/>
      <c r="D296"/>
      <c r="P296"/>
    </row>
    <row r="297" spans="3:16">
      <c r="C297"/>
      <c r="D297"/>
      <c r="P297"/>
    </row>
    <row r="298" spans="3:16">
      <c r="C298"/>
      <c r="D298"/>
      <c r="P298"/>
    </row>
    <row r="299" spans="3:16">
      <c r="C299"/>
      <c r="D299"/>
      <c r="P299"/>
    </row>
    <row r="300" spans="3:16">
      <c r="C300"/>
      <c r="D300"/>
      <c r="P300"/>
    </row>
    <row r="301" spans="3:16">
      <c r="C301"/>
      <c r="D301"/>
      <c r="P301"/>
    </row>
    <row r="302" spans="3:16">
      <c r="C302"/>
      <c r="D302"/>
      <c r="P302"/>
    </row>
    <row r="303" spans="3:16">
      <c r="C303"/>
      <c r="D303"/>
      <c r="P303"/>
    </row>
    <row r="304" spans="3:16">
      <c r="C304"/>
      <c r="D304"/>
      <c r="P304"/>
    </row>
    <row r="305" spans="3:16">
      <c r="C305"/>
      <c r="D305"/>
      <c r="P305"/>
    </row>
    <row r="306" spans="3:16">
      <c r="C306"/>
      <c r="D306"/>
      <c r="P306"/>
    </row>
    <row r="307" spans="3:16">
      <c r="C307"/>
      <c r="D307"/>
      <c r="P307"/>
    </row>
    <row r="308" spans="3:16">
      <c r="C308"/>
      <c r="D308"/>
      <c r="P308"/>
    </row>
    <row r="309" spans="3:16">
      <c r="C309"/>
      <c r="D309"/>
      <c r="P309"/>
    </row>
    <row r="310" spans="3:16">
      <c r="C310"/>
      <c r="D310"/>
      <c r="P310"/>
    </row>
    <row r="311" spans="3:16">
      <c r="C311"/>
      <c r="D311"/>
      <c r="P311"/>
    </row>
    <row r="312" spans="3:16">
      <c r="C312"/>
      <c r="D312"/>
      <c r="P312"/>
    </row>
    <row r="313" spans="3:16">
      <c r="C313"/>
      <c r="D313"/>
      <c r="P313"/>
    </row>
    <row r="314" spans="3:16">
      <c r="C314"/>
      <c r="D314"/>
      <c r="P314"/>
    </row>
    <row r="315" spans="3:16">
      <c r="C315"/>
      <c r="D315"/>
      <c r="P315"/>
    </row>
    <row r="316" spans="3:16">
      <c r="C316"/>
      <c r="D316"/>
      <c r="P316"/>
    </row>
    <row r="317" spans="3:16">
      <c r="C317"/>
      <c r="D317"/>
      <c r="P317"/>
    </row>
    <row r="318" spans="3:16">
      <c r="C318"/>
      <c r="D318"/>
      <c r="P318"/>
    </row>
    <row r="319" spans="3:16">
      <c r="C319"/>
      <c r="D319"/>
      <c r="P319"/>
    </row>
    <row r="320" spans="3:16">
      <c r="C320"/>
      <c r="D320"/>
      <c r="P320"/>
    </row>
    <row r="321" spans="3:16">
      <c r="C321"/>
      <c r="D321"/>
      <c r="P321"/>
    </row>
    <row r="322" spans="3:16">
      <c r="C322"/>
      <c r="D322"/>
      <c r="P322"/>
    </row>
    <row r="323" spans="3:16">
      <c r="C323"/>
      <c r="D323"/>
      <c r="P323"/>
    </row>
    <row r="324" spans="3:16">
      <c r="C324"/>
      <c r="D324"/>
      <c r="P324"/>
    </row>
    <row r="325" spans="3:16">
      <c r="C325"/>
      <c r="D325"/>
      <c r="P325"/>
    </row>
    <row r="326" spans="3:16">
      <c r="C326"/>
      <c r="D326"/>
      <c r="P326"/>
    </row>
    <row r="327" spans="3:16">
      <c r="C327"/>
      <c r="D327"/>
      <c r="P327"/>
    </row>
    <row r="328" spans="3:16">
      <c r="C328"/>
      <c r="D328"/>
      <c r="P328"/>
    </row>
    <row r="329" spans="3:16">
      <c r="C329"/>
      <c r="D329"/>
      <c r="P329"/>
    </row>
    <row r="330" spans="3:16">
      <c r="C330"/>
      <c r="D330"/>
      <c r="P330"/>
    </row>
    <row r="331" spans="3:16">
      <c r="C331"/>
      <c r="D331"/>
      <c r="P331"/>
    </row>
    <row r="332" spans="3:16">
      <c r="C332"/>
      <c r="D332"/>
      <c r="P332"/>
    </row>
    <row r="333" spans="3:16">
      <c r="C333"/>
      <c r="D333"/>
      <c r="P333"/>
    </row>
    <row r="334" spans="3:16">
      <c r="C334"/>
      <c r="D334"/>
      <c r="P334"/>
    </row>
    <row r="335" spans="3:16">
      <c r="C335"/>
      <c r="D335"/>
      <c r="P335"/>
    </row>
    <row r="336" spans="3:16">
      <c r="C336"/>
      <c r="D336"/>
      <c r="P336"/>
    </row>
    <row r="337" spans="3:16">
      <c r="C337"/>
      <c r="D337"/>
      <c r="P337"/>
    </row>
    <row r="338" spans="3:16">
      <c r="C338"/>
      <c r="D338"/>
      <c r="P338"/>
    </row>
    <row r="339" spans="3:16">
      <c r="C339"/>
      <c r="D339"/>
      <c r="P339"/>
    </row>
    <row r="340" spans="3:16">
      <c r="C340"/>
      <c r="D340"/>
      <c r="P340"/>
    </row>
    <row r="341" spans="3:16">
      <c r="C341"/>
      <c r="D341"/>
      <c r="P341"/>
    </row>
    <row r="342" spans="3:16">
      <c r="C342"/>
      <c r="D342"/>
      <c r="P342"/>
    </row>
    <row r="343" spans="3:16">
      <c r="C343"/>
      <c r="D343"/>
      <c r="P343"/>
    </row>
    <row r="344" spans="3:16">
      <c r="C344"/>
      <c r="D344"/>
      <c r="P344"/>
    </row>
    <row r="345" spans="3:16">
      <c r="C345"/>
      <c r="D345"/>
      <c r="P345"/>
    </row>
    <row r="346" spans="3:16">
      <c r="C346"/>
      <c r="D346"/>
      <c r="P346"/>
    </row>
    <row r="347" spans="3:16">
      <c r="C347"/>
      <c r="D347"/>
      <c r="P347"/>
    </row>
    <row r="348" spans="3:16">
      <c r="C348"/>
      <c r="D348"/>
      <c r="P348"/>
    </row>
    <row r="349" spans="3:16">
      <c r="C349"/>
      <c r="D349"/>
      <c r="P349"/>
    </row>
    <row r="350" spans="3:16">
      <c r="C350"/>
      <c r="D350"/>
      <c r="P350"/>
    </row>
    <row r="351" spans="3:16">
      <c r="C351"/>
      <c r="D351"/>
      <c r="P351"/>
    </row>
    <row r="352" spans="3:16">
      <c r="C352"/>
      <c r="D352"/>
      <c r="P352"/>
    </row>
    <row r="353" spans="3:16">
      <c r="C353"/>
      <c r="D353"/>
      <c r="P353"/>
    </row>
    <row r="354" spans="3:16">
      <c r="C354"/>
      <c r="D354"/>
      <c r="P354"/>
    </row>
    <row r="355" spans="3:16">
      <c r="C355"/>
      <c r="D355"/>
      <c r="P355"/>
    </row>
    <row r="356" spans="3:16">
      <c r="C356"/>
      <c r="D356"/>
      <c r="P356"/>
    </row>
    <row r="357" spans="3:16">
      <c r="C357"/>
      <c r="D357"/>
      <c r="P357"/>
    </row>
    <row r="358" spans="3:16">
      <c r="C358"/>
      <c r="D358"/>
      <c r="P358"/>
    </row>
    <row r="359" spans="3:16">
      <c r="C359"/>
      <c r="D359"/>
      <c r="P359"/>
    </row>
    <row r="360" spans="3:16">
      <c r="C360"/>
      <c r="D360"/>
      <c r="P360"/>
    </row>
    <row r="361" spans="3:16">
      <c r="C361"/>
      <c r="D361"/>
      <c r="P361"/>
    </row>
    <row r="362" spans="3:16">
      <c r="C362"/>
      <c r="D362"/>
      <c r="P362"/>
    </row>
    <row r="363" spans="3:16">
      <c r="C363"/>
      <c r="D363"/>
      <c r="P363"/>
    </row>
    <row r="364" spans="3:16">
      <c r="C364"/>
      <c r="D364"/>
      <c r="P364"/>
    </row>
    <row r="365" spans="3:16">
      <c r="C365"/>
      <c r="D365"/>
      <c r="P365"/>
    </row>
    <row r="366" spans="3:16">
      <c r="C366"/>
      <c r="D366"/>
      <c r="P366"/>
    </row>
    <row r="367" spans="3:16">
      <c r="C367"/>
      <c r="D367"/>
      <c r="P367"/>
    </row>
    <row r="368" spans="3:16">
      <c r="C368"/>
      <c r="D368"/>
      <c r="P368"/>
    </row>
    <row r="369" spans="3:16">
      <c r="C369"/>
      <c r="D369"/>
      <c r="P369"/>
    </row>
    <row r="370" spans="3:16">
      <c r="C370"/>
      <c r="D370"/>
      <c r="P370"/>
    </row>
    <row r="371" spans="3:16">
      <c r="C371"/>
      <c r="D371"/>
      <c r="P371"/>
    </row>
    <row r="372" spans="3:16">
      <c r="C372"/>
      <c r="D372"/>
      <c r="P372"/>
    </row>
    <row r="373" spans="3:16">
      <c r="C373"/>
      <c r="D373"/>
      <c r="P373"/>
    </row>
    <row r="374" spans="3:16">
      <c r="C374"/>
      <c r="D374"/>
      <c r="P374"/>
    </row>
    <row r="375" spans="3:16">
      <c r="C375"/>
      <c r="D375"/>
      <c r="P375"/>
    </row>
    <row r="376" spans="3:16">
      <c r="C376"/>
      <c r="D376"/>
      <c r="P376"/>
    </row>
    <row r="377" spans="3:16">
      <c r="C377"/>
      <c r="D377"/>
      <c r="P377"/>
    </row>
    <row r="378" spans="3:16">
      <c r="C378"/>
      <c r="D378"/>
      <c r="P378"/>
    </row>
    <row r="379" spans="3:16">
      <c r="C379"/>
      <c r="D379"/>
      <c r="P379"/>
    </row>
    <row r="380" spans="3:16">
      <c r="C380"/>
      <c r="D380"/>
      <c r="P380"/>
    </row>
    <row r="381" spans="3:16">
      <c r="C381"/>
      <c r="D381"/>
      <c r="P381"/>
    </row>
    <row r="382" spans="3:16">
      <c r="C382"/>
      <c r="D382"/>
      <c r="P382"/>
    </row>
    <row r="383" spans="3:16">
      <c r="C383"/>
      <c r="D383"/>
      <c r="P383"/>
    </row>
    <row r="384" spans="3:16">
      <c r="C384"/>
      <c r="D384"/>
      <c r="P384"/>
    </row>
    <row r="385" spans="3:16">
      <c r="C385"/>
      <c r="D385"/>
      <c r="P385"/>
    </row>
    <row r="386" spans="3:16">
      <c r="C386"/>
      <c r="D386"/>
      <c r="P386"/>
    </row>
    <row r="387" spans="3:16">
      <c r="C387"/>
      <c r="D387"/>
      <c r="P387"/>
    </row>
    <row r="388" spans="3:16">
      <c r="C388"/>
      <c r="D388"/>
      <c r="P388"/>
    </row>
    <row r="389" spans="3:16">
      <c r="C389"/>
      <c r="D389"/>
      <c r="P389"/>
    </row>
    <row r="390" spans="3:16">
      <c r="C390"/>
      <c r="D390"/>
      <c r="P390"/>
    </row>
    <row r="391" spans="3:16">
      <c r="C391"/>
      <c r="D391"/>
      <c r="P391"/>
    </row>
    <row r="392" spans="3:16">
      <c r="C392"/>
      <c r="D392"/>
      <c r="P392"/>
    </row>
    <row r="393" spans="3:16">
      <c r="C393"/>
      <c r="D393"/>
      <c r="P393"/>
    </row>
    <row r="394" spans="3:16">
      <c r="C394"/>
      <c r="D394"/>
      <c r="P394"/>
    </row>
    <row r="395" spans="3:16">
      <c r="C395"/>
      <c r="D395"/>
      <c r="P395"/>
    </row>
    <row r="396" spans="3:16">
      <c r="C396"/>
      <c r="D396"/>
      <c r="P396"/>
    </row>
    <row r="397" spans="3:16">
      <c r="C397"/>
      <c r="D397"/>
      <c r="P397"/>
    </row>
    <row r="398" spans="3:16">
      <c r="C398"/>
      <c r="D398"/>
      <c r="P398"/>
    </row>
    <row r="399" spans="3:16">
      <c r="C399"/>
      <c r="D399"/>
      <c r="P399"/>
    </row>
    <row r="400" spans="3:16">
      <c r="C400"/>
      <c r="D400"/>
      <c r="P400"/>
    </row>
    <row r="401" spans="3:16">
      <c r="C401"/>
      <c r="D401"/>
      <c r="P401"/>
    </row>
    <row r="402" spans="3:16">
      <c r="C402"/>
      <c r="D402"/>
      <c r="P402"/>
    </row>
    <row r="403" spans="3:16">
      <c r="C403"/>
      <c r="D403"/>
      <c r="P403"/>
    </row>
    <row r="404" spans="3:16">
      <c r="C404"/>
      <c r="D404"/>
      <c r="P404"/>
    </row>
    <row r="405" spans="3:16">
      <c r="C405"/>
      <c r="D405"/>
      <c r="P405"/>
    </row>
    <row r="406" spans="3:16">
      <c r="C406"/>
      <c r="D406"/>
      <c r="P406"/>
    </row>
    <row r="407" spans="3:16">
      <c r="C407"/>
      <c r="D407"/>
      <c r="P407"/>
    </row>
    <row r="408" spans="3:16">
      <c r="C408"/>
      <c r="D408"/>
      <c r="P408"/>
    </row>
    <row r="409" spans="3:16">
      <c r="C409"/>
      <c r="D409"/>
      <c r="P409"/>
    </row>
    <row r="410" spans="3:16">
      <c r="C410"/>
      <c r="D410"/>
      <c r="P410"/>
    </row>
    <row r="411" spans="3:16">
      <c r="C411"/>
      <c r="D411"/>
      <c r="P411"/>
    </row>
    <row r="412" spans="3:16">
      <c r="C412"/>
      <c r="D412"/>
      <c r="P412"/>
    </row>
    <row r="413" spans="3:16">
      <c r="C413"/>
      <c r="D413"/>
      <c r="P413"/>
    </row>
    <row r="414" spans="3:16">
      <c r="C414"/>
      <c r="D414"/>
      <c r="P414"/>
    </row>
    <row r="415" spans="3:16">
      <c r="C415"/>
      <c r="D415"/>
      <c r="P415"/>
    </row>
    <row r="416" spans="3:16">
      <c r="C416"/>
      <c r="D416"/>
      <c r="P416"/>
    </row>
    <row r="417" spans="3:16">
      <c r="C417"/>
      <c r="D417"/>
      <c r="P417"/>
    </row>
    <row r="418" spans="3:16">
      <c r="C418"/>
      <c r="D418"/>
      <c r="P418"/>
    </row>
    <row r="419" spans="3:16">
      <c r="C419"/>
      <c r="D419"/>
      <c r="P419"/>
    </row>
    <row r="420" spans="3:16">
      <c r="C420"/>
      <c r="D420"/>
      <c r="P420"/>
    </row>
    <row r="421" spans="3:16">
      <c r="C421"/>
      <c r="D421"/>
      <c r="P421"/>
    </row>
    <row r="422" spans="3:16">
      <c r="C422"/>
      <c r="D422"/>
      <c r="P422"/>
    </row>
    <row r="423" spans="3:16">
      <c r="C423"/>
      <c r="D423"/>
      <c r="P423"/>
    </row>
    <row r="424" spans="3:16">
      <c r="C424"/>
      <c r="D424"/>
      <c r="P424"/>
    </row>
    <row r="425" spans="3:16">
      <c r="C425"/>
      <c r="D425"/>
      <c r="P425"/>
    </row>
    <row r="426" spans="3:16">
      <c r="C426"/>
      <c r="D426"/>
      <c r="P426"/>
    </row>
    <row r="427" spans="3:16">
      <c r="C427"/>
      <c r="D427"/>
      <c r="P427"/>
    </row>
    <row r="428" spans="3:16">
      <c r="C428"/>
      <c r="D428"/>
      <c r="P428"/>
    </row>
    <row r="429" spans="3:16">
      <c r="C429"/>
      <c r="D429"/>
      <c r="P429"/>
    </row>
    <row r="430" spans="3:16">
      <c r="C430"/>
      <c r="D430"/>
      <c r="P430"/>
    </row>
    <row r="431" spans="3:16">
      <c r="C431"/>
      <c r="D431"/>
      <c r="P431"/>
    </row>
    <row r="432" spans="3:16">
      <c r="C432"/>
      <c r="D432"/>
      <c r="P432"/>
    </row>
    <row r="433" spans="3:16">
      <c r="C433"/>
      <c r="D433"/>
      <c r="P433"/>
    </row>
    <row r="434" spans="3:16">
      <c r="C434"/>
      <c r="D434"/>
      <c r="P434"/>
    </row>
    <row r="435" spans="3:16">
      <c r="C435"/>
      <c r="D435"/>
      <c r="P435"/>
    </row>
    <row r="436" spans="3:16">
      <c r="C436"/>
      <c r="D436"/>
      <c r="P436"/>
    </row>
    <row r="437" spans="3:16">
      <c r="C437"/>
      <c r="D437"/>
      <c r="P437"/>
    </row>
    <row r="438" spans="3:16">
      <c r="C438"/>
      <c r="D438"/>
      <c r="P438"/>
    </row>
    <row r="439" spans="3:16">
      <c r="C439"/>
      <c r="D439"/>
      <c r="P439"/>
    </row>
    <row r="440" spans="3:16">
      <c r="C440"/>
      <c r="D440"/>
      <c r="P440"/>
    </row>
    <row r="441" spans="3:16">
      <c r="C441"/>
      <c r="D441"/>
      <c r="P441"/>
    </row>
    <row r="442" spans="3:16">
      <c r="C442"/>
      <c r="D442"/>
      <c r="P442"/>
    </row>
    <row r="443" spans="3:16">
      <c r="C443"/>
      <c r="D443"/>
      <c r="P443"/>
    </row>
    <row r="444" spans="3:16">
      <c r="C444"/>
      <c r="D444"/>
      <c r="P444"/>
    </row>
    <row r="445" spans="3:16">
      <c r="C445"/>
      <c r="D445"/>
      <c r="P445"/>
    </row>
    <row r="446" spans="3:16">
      <c r="C446"/>
      <c r="D446"/>
      <c r="P446"/>
    </row>
    <row r="447" spans="3:16">
      <c r="C447"/>
      <c r="D447"/>
      <c r="P447"/>
    </row>
    <row r="448" spans="3:16">
      <c r="C448"/>
      <c r="D448"/>
      <c r="P448"/>
    </row>
    <row r="449" spans="3:16">
      <c r="C449"/>
      <c r="D449"/>
      <c r="P449"/>
    </row>
    <row r="450" spans="3:16">
      <c r="C450"/>
      <c r="D450"/>
      <c r="P450"/>
    </row>
    <row r="451" spans="3:16">
      <c r="C451"/>
      <c r="D451"/>
      <c r="P451"/>
    </row>
    <row r="452" spans="3:16">
      <c r="C452"/>
      <c r="D452"/>
      <c r="P452"/>
    </row>
    <row r="453" spans="3:16">
      <c r="C453"/>
      <c r="D453"/>
      <c r="P453"/>
    </row>
    <row r="454" spans="3:16">
      <c r="C454"/>
      <c r="D454"/>
      <c r="P454"/>
    </row>
    <row r="455" spans="3:16">
      <c r="C455"/>
      <c r="D455"/>
      <c r="P455"/>
    </row>
    <row r="456" spans="3:16">
      <c r="C456"/>
      <c r="D456"/>
      <c r="P456"/>
    </row>
    <row r="457" spans="3:16">
      <c r="C457"/>
      <c r="D457"/>
      <c r="P457"/>
    </row>
    <row r="458" spans="3:16">
      <c r="C458"/>
      <c r="D458"/>
      <c r="P458"/>
    </row>
    <row r="459" spans="3:16">
      <c r="C459"/>
      <c r="D459"/>
      <c r="P459"/>
    </row>
    <row r="460" spans="3:16">
      <c r="C460"/>
      <c r="D460"/>
      <c r="P460"/>
    </row>
    <row r="461" spans="3:16">
      <c r="C461"/>
      <c r="D461"/>
      <c r="P461"/>
    </row>
    <row r="462" spans="3:16">
      <c r="C462"/>
      <c r="D462"/>
      <c r="P462"/>
    </row>
    <row r="463" spans="3:16">
      <c r="C463"/>
      <c r="D463"/>
      <c r="P463"/>
    </row>
    <row r="464" spans="3:16">
      <c r="C464"/>
      <c r="D464"/>
      <c r="P464"/>
    </row>
    <row r="465" spans="3:16">
      <c r="C465"/>
      <c r="D465"/>
      <c r="P465"/>
    </row>
    <row r="466" spans="3:16">
      <c r="C466"/>
      <c r="D466"/>
      <c r="P466"/>
    </row>
    <row r="467" spans="3:16">
      <c r="C467"/>
      <c r="D467"/>
      <c r="P467"/>
    </row>
    <row r="468" spans="3:16">
      <c r="C468"/>
      <c r="D468"/>
      <c r="P468"/>
    </row>
    <row r="469" spans="3:16">
      <c r="C469"/>
      <c r="D469"/>
      <c r="P469"/>
    </row>
    <row r="470" spans="3:16">
      <c r="C470"/>
      <c r="D470"/>
      <c r="P470"/>
    </row>
    <row r="471" spans="3:16">
      <c r="C471"/>
      <c r="D471"/>
      <c r="P471"/>
    </row>
    <row r="472" spans="3:16">
      <c r="C472"/>
      <c r="D472"/>
      <c r="P472"/>
    </row>
    <row r="473" spans="3:16">
      <c r="C473"/>
      <c r="D473"/>
      <c r="P473"/>
    </row>
    <row r="474" spans="3:16">
      <c r="C474"/>
      <c r="D474"/>
      <c r="P474"/>
    </row>
    <row r="475" spans="3:16">
      <c r="C475"/>
      <c r="D475"/>
      <c r="P475"/>
    </row>
    <row r="476" spans="3:16">
      <c r="C476"/>
      <c r="D476"/>
      <c r="P476"/>
    </row>
    <row r="477" spans="3:16">
      <c r="C477"/>
      <c r="D477"/>
      <c r="P477"/>
    </row>
    <row r="478" spans="3:16">
      <c r="C478"/>
      <c r="D478"/>
      <c r="P478"/>
    </row>
    <row r="479" spans="3:16">
      <c r="C479"/>
      <c r="D479"/>
      <c r="P479"/>
    </row>
    <row r="480" spans="3:16">
      <c r="C480"/>
      <c r="D480"/>
      <c r="P480"/>
    </row>
    <row r="481" spans="3:16">
      <c r="C481"/>
      <c r="D481"/>
      <c r="P481"/>
    </row>
    <row r="482" spans="3:16">
      <c r="C482"/>
      <c r="D482"/>
      <c r="P482"/>
    </row>
    <row r="483" spans="3:16">
      <c r="C483"/>
      <c r="D483"/>
      <c r="P483"/>
    </row>
    <row r="484" spans="3:16">
      <c r="C484"/>
      <c r="D484"/>
      <c r="P484"/>
    </row>
    <row r="485" spans="3:16">
      <c r="C485"/>
      <c r="D485"/>
      <c r="P485"/>
    </row>
    <row r="486" spans="3:16">
      <c r="C486"/>
      <c r="D486"/>
      <c r="P486"/>
    </row>
    <row r="487" spans="3:16">
      <c r="C487"/>
      <c r="D487"/>
      <c r="P487"/>
    </row>
    <row r="488" spans="3:16">
      <c r="C488"/>
      <c r="D488"/>
      <c r="P488"/>
    </row>
    <row r="489" spans="3:16">
      <c r="C489"/>
      <c r="D489"/>
      <c r="P489"/>
    </row>
    <row r="490" spans="3:16">
      <c r="C490"/>
      <c r="D490"/>
      <c r="P490"/>
    </row>
    <row r="491" spans="3:16">
      <c r="C491"/>
      <c r="D491"/>
      <c r="P491"/>
    </row>
    <row r="492" spans="3:16">
      <c r="C492"/>
      <c r="D492"/>
      <c r="P492"/>
    </row>
    <row r="493" spans="3:16">
      <c r="C493"/>
      <c r="D493"/>
      <c r="P493"/>
    </row>
    <row r="494" spans="3:16">
      <c r="C494"/>
      <c r="D494"/>
      <c r="P494"/>
    </row>
    <row r="495" spans="3:16">
      <c r="C495"/>
      <c r="D495"/>
      <c r="P495"/>
    </row>
    <row r="496" spans="3:16">
      <c r="C496"/>
      <c r="D496"/>
      <c r="P496"/>
    </row>
    <row r="497" spans="3:16">
      <c r="C497"/>
      <c r="D497"/>
      <c r="P497"/>
    </row>
    <row r="498" spans="3:16">
      <c r="C498"/>
      <c r="D498"/>
      <c r="P498"/>
    </row>
    <row r="499" spans="3:16">
      <c r="C499"/>
      <c r="D499"/>
      <c r="P499"/>
    </row>
    <row r="500" spans="3:16">
      <c r="C500"/>
      <c r="D500"/>
      <c r="P500"/>
    </row>
    <row r="501" spans="3:16">
      <c r="C501"/>
      <c r="D501"/>
      <c r="P501"/>
    </row>
    <row r="502" spans="3:16">
      <c r="C502"/>
      <c r="D502"/>
      <c r="P502"/>
    </row>
    <row r="503" spans="3:16">
      <c r="C503"/>
      <c r="D503"/>
      <c r="P503"/>
    </row>
    <row r="504" spans="3:16">
      <c r="C504"/>
      <c r="D504"/>
      <c r="P504"/>
    </row>
    <row r="505" spans="3:16">
      <c r="C505"/>
      <c r="D505"/>
      <c r="P505"/>
    </row>
    <row r="506" spans="3:16">
      <c r="C506"/>
      <c r="D506"/>
      <c r="P506"/>
    </row>
    <row r="507" spans="3:16">
      <c r="C507"/>
      <c r="D507"/>
      <c r="P507"/>
    </row>
    <row r="508" spans="3:16">
      <c r="C508"/>
      <c r="D508"/>
      <c r="P508"/>
    </row>
    <row r="509" spans="3:16">
      <c r="C509"/>
      <c r="D509"/>
      <c r="P509"/>
    </row>
    <row r="510" spans="3:16">
      <c r="C510"/>
      <c r="D510"/>
      <c r="P510"/>
    </row>
    <row r="511" spans="3:16">
      <c r="C511"/>
      <c r="D511"/>
      <c r="P511"/>
    </row>
    <row r="512" spans="3:16">
      <c r="C512"/>
      <c r="D512"/>
      <c r="P512"/>
    </row>
    <row r="513" spans="3:16">
      <c r="C513"/>
      <c r="D513"/>
      <c r="P513"/>
    </row>
    <row r="514" spans="3:16">
      <c r="C514"/>
      <c r="D514"/>
      <c r="P514"/>
    </row>
    <row r="515" spans="3:16">
      <c r="C515"/>
      <c r="D515"/>
      <c r="P515"/>
    </row>
    <row r="516" spans="3:16">
      <c r="C516"/>
      <c r="D516"/>
      <c r="P516"/>
    </row>
    <row r="517" spans="3:16">
      <c r="C517"/>
      <c r="D517"/>
      <c r="P517"/>
    </row>
    <row r="518" spans="3:16">
      <c r="C518"/>
      <c r="D518"/>
      <c r="P518"/>
    </row>
    <row r="519" spans="3:16">
      <c r="C519"/>
      <c r="D519"/>
      <c r="P519"/>
    </row>
    <row r="520" spans="3:16">
      <c r="C520"/>
      <c r="D520"/>
      <c r="P520"/>
    </row>
    <row r="521" spans="3:16">
      <c r="C521"/>
      <c r="D521"/>
      <c r="P521"/>
    </row>
    <row r="522" spans="3:16">
      <c r="C522"/>
      <c r="D522"/>
      <c r="P522"/>
    </row>
    <row r="523" spans="3:16">
      <c r="C523"/>
      <c r="D523"/>
      <c r="P523"/>
    </row>
    <row r="524" spans="3:16">
      <c r="C524"/>
      <c r="D524"/>
      <c r="P524"/>
    </row>
    <row r="525" spans="3:16">
      <c r="C525"/>
      <c r="D525"/>
      <c r="P525"/>
    </row>
    <row r="526" spans="3:16">
      <c r="C526"/>
      <c r="D526"/>
      <c r="P526"/>
    </row>
    <row r="527" spans="3:16">
      <c r="C527"/>
      <c r="D527"/>
      <c r="P527"/>
    </row>
    <row r="528" spans="3:16">
      <c r="C528"/>
      <c r="D528"/>
      <c r="P528"/>
    </row>
    <row r="529" spans="3:16">
      <c r="C529"/>
      <c r="D529"/>
      <c r="P529"/>
    </row>
    <row r="530" spans="3:16">
      <c r="C530"/>
      <c r="D530"/>
      <c r="P530"/>
    </row>
    <row r="531" spans="3:16">
      <c r="C531"/>
      <c r="D531"/>
      <c r="P531"/>
    </row>
    <row r="532" spans="3:16">
      <c r="C532"/>
      <c r="D532"/>
      <c r="P532"/>
    </row>
    <row r="533" spans="3:16">
      <c r="C533"/>
      <c r="D533"/>
      <c r="P533"/>
    </row>
    <row r="534" spans="3:16">
      <c r="C534"/>
      <c r="D534"/>
      <c r="P534"/>
    </row>
    <row r="535" spans="3:16">
      <c r="C535"/>
      <c r="D535"/>
      <c r="P535"/>
    </row>
    <row r="536" spans="3:16">
      <c r="C536"/>
      <c r="D536"/>
      <c r="P536"/>
    </row>
    <row r="537" spans="3:16">
      <c r="C537"/>
      <c r="D537"/>
      <c r="P537"/>
    </row>
    <row r="538" spans="3:16">
      <c r="C538"/>
      <c r="D538"/>
      <c r="P538"/>
    </row>
    <row r="539" spans="3:16">
      <c r="C539"/>
      <c r="D539"/>
      <c r="P539"/>
    </row>
    <row r="540" spans="3:16">
      <c r="C540"/>
      <c r="D540"/>
      <c r="P540"/>
    </row>
    <row r="541" spans="3:16">
      <c r="C541"/>
      <c r="D541"/>
      <c r="P541"/>
    </row>
    <row r="542" spans="3:16">
      <c r="C542"/>
      <c r="D542"/>
      <c r="P542"/>
    </row>
    <row r="543" spans="3:16">
      <c r="C543"/>
      <c r="D543"/>
      <c r="P543"/>
    </row>
    <row r="544" spans="3:16">
      <c r="C544"/>
      <c r="D544"/>
      <c r="P544"/>
    </row>
    <row r="545" spans="3:16">
      <c r="C545"/>
      <c r="D545"/>
      <c r="P545"/>
    </row>
    <row r="546" spans="3:16">
      <c r="C546"/>
      <c r="D546"/>
      <c r="P546"/>
    </row>
    <row r="547" spans="3:16">
      <c r="C547"/>
      <c r="D547"/>
      <c r="P547"/>
    </row>
    <row r="548" spans="3:16">
      <c r="C548"/>
      <c r="D548"/>
      <c r="P548"/>
    </row>
    <row r="549" spans="3:16">
      <c r="C549"/>
      <c r="D549"/>
      <c r="P549"/>
    </row>
    <row r="550" spans="3:16">
      <c r="C550"/>
      <c r="D550"/>
      <c r="P550"/>
    </row>
    <row r="551" spans="3:16">
      <c r="C551"/>
      <c r="D551"/>
      <c r="P551"/>
    </row>
    <row r="552" spans="3:16">
      <c r="C552"/>
      <c r="D552"/>
      <c r="P552"/>
    </row>
    <row r="553" spans="3:16">
      <c r="C553"/>
      <c r="D553"/>
      <c r="P553"/>
    </row>
    <row r="554" spans="3:16">
      <c r="C554"/>
      <c r="D554"/>
      <c r="P554"/>
    </row>
    <row r="555" spans="3:16">
      <c r="C555"/>
      <c r="D555"/>
      <c r="P555"/>
    </row>
    <row r="556" spans="3:16">
      <c r="C556"/>
      <c r="D556"/>
      <c r="P556"/>
    </row>
    <row r="557" spans="3:16">
      <c r="C557"/>
      <c r="D557"/>
      <c r="P557"/>
    </row>
    <row r="558" spans="3:16">
      <c r="C558"/>
      <c r="D558"/>
      <c r="P558"/>
    </row>
    <row r="559" spans="3:16">
      <c r="C559"/>
      <c r="D559"/>
      <c r="P559"/>
    </row>
    <row r="560" spans="3:16">
      <c r="C560"/>
      <c r="D560"/>
      <c r="P560"/>
    </row>
    <row r="561" spans="3:16">
      <c r="C561"/>
      <c r="D561"/>
      <c r="P561"/>
    </row>
    <row r="562" spans="3:16">
      <c r="C562"/>
      <c r="D562"/>
      <c r="P562"/>
    </row>
    <row r="563" spans="3:16">
      <c r="C563"/>
      <c r="D563"/>
      <c r="P563"/>
    </row>
    <row r="564" spans="3:16">
      <c r="C564"/>
      <c r="D564"/>
      <c r="P564"/>
    </row>
    <row r="565" spans="3:16">
      <c r="C565"/>
      <c r="D565"/>
      <c r="P565"/>
    </row>
    <row r="566" spans="3:16">
      <c r="C566"/>
      <c r="D566"/>
      <c r="P566"/>
    </row>
    <row r="567" spans="3:16">
      <c r="C567"/>
      <c r="D567"/>
      <c r="P567"/>
    </row>
    <row r="568" spans="3:16">
      <c r="C568"/>
      <c r="D568"/>
      <c r="P568"/>
    </row>
    <row r="569" spans="3:16">
      <c r="C569"/>
      <c r="D569"/>
      <c r="P569"/>
    </row>
    <row r="570" spans="3:16">
      <c r="C570"/>
      <c r="D570"/>
      <c r="P570"/>
    </row>
    <row r="571" spans="3:16">
      <c r="C571"/>
      <c r="D571"/>
      <c r="P571"/>
    </row>
    <row r="572" spans="3:16">
      <c r="C572"/>
      <c r="D572"/>
      <c r="P572"/>
    </row>
    <row r="573" spans="3:16">
      <c r="C573"/>
      <c r="D573"/>
      <c r="P573"/>
    </row>
    <row r="574" spans="3:16">
      <c r="C574"/>
      <c r="D574"/>
      <c r="P574"/>
    </row>
    <row r="575" spans="3:16">
      <c r="C575"/>
      <c r="D575"/>
      <c r="P575"/>
    </row>
    <row r="576" spans="3:16">
      <c r="C576"/>
      <c r="D576"/>
      <c r="P576"/>
    </row>
    <row r="577" spans="3:16">
      <c r="C577"/>
      <c r="D577"/>
      <c r="P577"/>
    </row>
    <row r="578" spans="3:16">
      <c r="C578"/>
      <c r="D578"/>
      <c r="P578"/>
    </row>
    <row r="579" spans="3:16">
      <c r="C579"/>
      <c r="D579"/>
      <c r="P579"/>
    </row>
    <row r="580" spans="3:16">
      <c r="C580"/>
      <c r="D580"/>
      <c r="P580"/>
    </row>
    <row r="581" spans="3:16">
      <c r="C581"/>
      <c r="D581"/>
      <c r="P581"/>
    </row>
    <row r="582" spans="3:16">
      <c r="C582"/>
      <c r="D582"/>
      <c r="P582"/>
    </row>
    <row r="583" spans="3:16">
      <c r="C583"/>
      <c r="D583"/>
      <c r="P583"/>
    </row>
    <row r="584" spans="3:16">
      <c r="C584"/>
      <c r="D584"/>
      <c r="P584"/>
    </row>
    <row r="585" spans="3:16">
      <c r="C585"/>
      <c r="D585"/>
      <c r="P585"/>
    </row>
    <row r="586" spans="3:16">
      <c r="C586"/>
      <c r="D586"/>
      <c r="P586"/>
    </row>
    <row r="587" spans="3:16">
      <c r="C587"/>
      <c r="D587"/>
      <c r="P587"/>
    </row>
    <row r="588" spans="3:16">
      <c r="C588"/>
      <c r="D588"/>
      <c r="P588"/>
    </row>
    <row r="589" spans="3:16">
      <c r="C589"/>
      <c r="D589"/>
      <c r="P589"/>
    </row>
    <row r="590" spans="3:16">
      <c r="C590"/>
      <c r="D590"/>
      <c r="P590"/>
    </row>
    <row r="591" spans="3:16">
      <c r="C591"/>
      <c r="D591"/>
      <c r="P591"/>
    </row>
    <row r="592" spans="3:16">
      <c r="C592"/>
      <c r="D592"/>
      <c r="P592"/>
    </row>
    <row r="593" spans="3:16">
      <c r="C593"/>
      <c r="D593"/>
      <c r="P593"/>
    </row>
    <row r="594" spans="3:16">
      <c r="C594"/>
      <c r="D594"/>
      <c r="P594"/>
    </row>
    <row r="595" spans="3:16">
      <c r="C595"/>
      <c r="D595"/>
      <c r="P595"/>
    </row>
    <row r="596" spans="3:16">
      <c r="C596"/>
      <c r="D596"/>
      <c r="P596"/>
    </row>
    <row r="597" spans="3:16">
      <c r="C597"/>
      <c r="D597"/>
      <c r="P597"/>
    </row>
    <row r="598" spans="3:16">
      <c r="C598"/>
      <c r="D598"/>
      <c r="P598"/>
    </row>
    <row r="599" spans="3:16">
      <c r="C599"/>
      <c r="D599"/>
      <c r="P599"/>
    </row>
    <row r="600" spans="3:16">
      <c r="C600"/>
      <c r="D600"/>
      <c r="P600"/>
    </row>
    <row r="601" spans="3:16">
      <c r="C601"/>
      <c r="D601"/>
      <c r="P601"/>
    </row>
    <row r="602" spans="3:16">
      <c r="C602"/>
      <c r="D602"/>
      <c r="P602"/>
    </row>
    <row r="603" spans="3:16">
      <c r="C603"/>
      <c r="D603"/>
      <c r="P603"/>
    </row>
    <row r="604" spans="3:16">
      <c r="C604"/>
      <c r="D604"/>
      <c r="P604"/>
    </row>
    <row r="605" spans="3:16">
      <c r="C605"/>
      <c r="D605"/>
      <c r="P605"/>
    </row>
    <row r="606" spans="3:16">
      <c r="C606"/>
      <c r="D606"/>
      <c r="P606"/>
    </row>
    <row r="607" spans="3:16">
      <c r="C607"/>
      <c r="D607"/>
      <c r="P607"/>
    </row>
    <row r="608" spans="3:16">
      <c r="C608"/>
      <c r="D608"/>
      <c r="P608"/>
    </row>
    <row r="609" spans="3:16">
      <c r="C609"/>
      <c r="D609"/>
      <c r="P609"/>
    </row>
    <row r="610" spans="3:16">
      <c r="C610"/>
      <c r="D610"/>
      <c r="P610"/>
    </row>
    <row r="611" spans="3:16">
      <c r="C611"/>
      <c r="D611"/>
      <c r="P611"/>
    </row>
    <row r="612" spans="3:16">
      <c r="C612"/>
      <c r="D612"/>
      <c r="P612"/>
    </row>
    <row r="613" spans="3:16">
      <c r="C613"/>
      <c r="D613"/>
      <c r="P613"/>
    </row>
    <row r="614" spans="3:16">
      <c r="C614"/>
      <c r="D614"/>
      <c r="P614"/>
    </row>
    <row r="615" spans="3:16">
      <c r="C615"/>
      <c r="D615"/>
      <c r="P615"/>
    </row>
    <row r="616" spans="3:16">
      <c r="C616"/>
      <c r="D616"/>
      <c r="P616"/>
    </row>
    <row r="617" spans="3:16">
      <c r="C617"/>
      <c r="D617"/>
      <c r="P617"/>
    </row>
    <row r="618" spans="3:16">
      <c r="C618"/>
      <c r="D618"/>
      <c r="P618"/>
    </row>
    <row r="619" spans="3:16">
      <c r="C619"/>
      <c r="D619"/>
      <c r="P619"/>
    </row>
    <row r="620" spans="3:16">
      <c r="C620"/>
      <c r="D620"/>
      <c r="P620"/>
    </row>
    <row r="621" spans="3:16">
      <c r="C621"/>
      <c r="D621"/>
      <c r="P621"/>
    </row>
    <row r="622" spans="3:16">
      <c r="C622"/>
      <c r="D622"/>
      <c r="P622"/>
    </row>
    <row r="623" spans="3:16">
      <c r="C623"/>
      <c r="D623"/>
      <c r="P623"/>
    </row>
    <row r="624" spans="3:16">
      <c r="C624"/>
      <c r="D624"/>
      <c r="P624"/>
    </row>
    <row r="625" spans="3:16">
      <c r="C625"/>
      <c r="D625"/>
      <c r="P625"/>
    </row>
    <row r="626" spans="3:16">
      <c r="C626"/>
      <c r="D626"/>
      <c r="P626"/>
    </row>
    <row r="627" spans="3:16">
      <c r="C627"/>
      <c r="D627"/>
      <c r="P627"/>
    </row>
    <row r="628" spans="3:16">
      <c r="C628"/>
      <c r="D628"/>
      <c r="P628"/>
    </row>
    <row r="629" spans="3:16">
      <c r="C629"/>
      <c r="D629"/>
      <c r="P629"/>
    </row>
    <row r="630" spans="3:16">
      <c r="C630"/>
      <c r="D630"/>
      <c r="P630"/>
    </row>
    <row r="631" spans="3:16">
      <c r="C631"/>
      <c r="D631"/>
      <c r="P631"/>
    </row>
    <row r="632" spans="3:16">
      <c r="C632"/>
      <c r="D632"/>
      <c r="P632"/>
    </row>
    <row r="633" spans="3:16">
      <c r="C633"/>
      <c r="D633"/>
      <c r="P633"/>
    </row>
    <row r="634" spans="3:16">
      <c r="C634"/>
      <c r="D634"/>
      <c r="P634"/>
    </row>
    <row r="635" spans="3:16">
      <c r="C635"/>
      <c r="D635"/>
      <c r="P635"/>
    </row>
    <row r="636" spans="3:16">
      <c r="C636"/>
      <c r="D636"/>
      <c r="P636"/>
    </row>
    <row r="637" spans="3:16">
      <c r="C637"/>
      <c r="D637"/>
      <c r="P637"/>
    </row>
    <row r="638" spans="3:16">
      <c r="C638"/>
      <c r="D638"/>
      <c r="P638"/>
    </row>
    <row r="639" spans="3:16">
      <c r="C639"/>
      <c r="D639"/>
      <c r="P639"/>
    </row>
    <row r="640" spans="3:16">
      <c r="C640"/>
      <c r="D640"/>
      <c r="P640"/>
    </row>
    <row r="641" spans="3:16">
      <c r="C641"/>
      <c r="D641"/>
      <c r="P641"/>
    </row>
    <row r="642" spans="3:16">
      <c r="C642"/>
      <c r="D642"/>
      <c r="P642"/>
    </row>
    <row r="643" spans="3:16">
      <c r="C643"/>
      <c r="D643"/>
      <c r="P643"/>
    </row>
    <row r="644" spans="3:16">
      <c r="C644"/>
      <c r="D644"/>
      <c r="P644"/>
    </row>
    <row r="645" spans="3:16">
      <c r="C645"/>
      <c r="D645"/>
      <c r="P645"/>
    </row>
    <row r="646" spans="3:16">
      <c r="C646"/>
      <c r="D646"/>
      <c r="P646"/>
    </row>
    <row r="647" spans="3:16">
      <c r="C647"/>
      <c r="D647"/>
      <c r="P647"/>
    </row>
    <row r="648" spans="3:16">
      <c r="C648"/>
      <c r="D648"/>
      <c r="P648"/>
    </row>
    <row r="649" spans="3:16">
      <c r="C649"/>
      <c r="D649"/>
      <c r="P649"/>
    </row>
    <row r="650" spans="3:16">
      <c r="C650"/>
      <c r="D650"/>
      <c r="P650"/>
    </row>
    <row r="651" spans="3:16">
      <c r="C651"/>
      <c r="D651"/>
      <c r="P651"/>
    </row>
    <row r="652" spans="3:16">
      <c r="C652"/>
      <c r="D652"/>
      <c r="P652"/>
    </row>
    <row r="653" spans="3:16">
      <c r="C653"/>
      <c r="D653"/>
      <c r="P653"/>
    </row>
    <row r="654" spans="3:16">
      <c r="C654"/>
      <c r="D654"/>
      <c r="P654"/>
    </row>
    <row r="655" spans="3:16">
      <c r="C655"/>
      <c r="D655"/>
      <c r="P655"/>
    </row>
    <row r="656" spans="3:16">
      <c r="C656"/>
      <c r="D656"/>
      <c r="P656"/>
    </row>
    <row r="657" spans="3:16">
      <c r="C657"/>
      <c r="D657"/>
      <c r="P657"/>
    </row>
    <row r="658" spans="3:16">
      <c r="C658"/>
      <c r="D658"/>
      <c r="P658"/>
    </row>
    <row r="659" spans="3:16">
      <c r="C659"/>
      <c r="D659"/>
      <c r="P659"/>
    </row>
    <row r="660" spans="3:16">
      <c r="C660"/>
      <c r="D660"/>
      <c r="P660"/>
    </row>
    <row r="661" spans="3:16">
      <c r="C661"/>
      <c r="D661"/>
      <c r="P661"/>
    </row>
    <row r="662" spans="3:16">
      <c r="C662"/>
      <c r="D662"/>
      <c r="P662"/>
    </row>
    <row r="663" spans="3:16">
      <c r="C663"/>
      <c r="D663"/>
      <c r="P663"/>
    </row>
    <row r="664" spans="3:16">
      <c r="C664"/>
      <c r="D664"/>
      <c r="P664"/>
    </row>
    <row r="665" spans="3:16">
      <c r="C665"/>
      <c r="D665"/>
      <c r="P665"/>
    </row>
    <row r="666" spans="3:16">
      <c r="C666"/>
      <c r="D666"/>
      <c r="P666"/>
    </row>
    <row r="667" spans="3:16">
      <c r="C667"/>
      <c r="D667"/>
      <c r="P667"/>
    </row>
    <row r="668" spans="3:16">
      <c r="C668"/>
      <c r="D668"/>
      <c r="P668"/>
    </row>
    <row r="669" spans="3:16">
      <c r="C669"/>
      <c r="D669"/>
      <c r="P669"/>
    </row>
    <row r="670" spans="3:16">
      <c r="C670"/>
      <c r="D670"/>
      <c r="P670"/>
    </row>
    <row r="671" spans="3:16">
      <c r="C671"/>
      <c r="D671"/>
      <c r="P671"/>
    </row>
    <row r="672" spans="3:16">
      <c r="C672"/>
      <c r="D672"/>
      <c r="P672"/>
    </row>
    <row r="673" spans="3:16">
      <c r="C673"/>
      <c r="D673"/>
      <c r="P673"/>
    </row>
    <row r="674" spans="3:16">
      <c r="C674"/>
      <c r="D674"/>
      <c r="P674"/>
    </row>
    <row r="675" spans="3:16">
      <c r="C675"/>
      <c r="D675"/>
      <c r="P675"/>
    </row>
    <row r="676" spans="3:16">
      <c r="C676"/>
      <c r="D676"/>
      <c r="P676"/>
    </row>
    <row r="677" spans="3:16">
      <c r="C677"/>
      <c r="D677"/>
      <c r="P677"/>
    </row>
    <row r="678" spans="3:16">
      <c r="C678"/>
      <c r="D678"/>
      <c r="P678"/>
    </row>
    <row r="679" spans="3:16">
      <c r="C679"/>
      <c r="D679"/>
      <c r="P679"/>
    </row>
    <row r="680" spans="3:16">
      <c r="C680"/>
      <c r="D680"/>
      <c r="P680"/>
    </row>
    <row r="681" spans="3:16">
      <c r="C681"/>
      <c r="D681"/>
      <c r="P681"/>
    </row>
    <row r="682" spans="3:16">
      <c r="C682"/>
      <c r="D682"/>
      <c r="P682"/>
    </row>
    <row r="683" spans="3:16">
      <c r="C683"/>
      <c r="D683"/>
      <c r="P683"/>
    </row>
    <row r="684" spans="3:16">
      <c r="C684"/>
      <c r="D684"/>
      <c r="P684"/>
    </row>
    <row r="685" spans="3:16">
      <c r="C685"/>
      <c r="D685"/>
      <c r="P685"/>
    </row>
    <row r="686" spans="3:16">
      <c r="C686"/>
      <c r="D686"/>
      <c r="P686"/>
    </row>
    <row r="687" spans="3:16">
      <c r="C687"/>
      <c r="D687"/>
      <c r="P687"/>
    </row>
    <row r="688" spans="3:16">
      <c r="C688"/>
      <c r="D688"/>
      <c r="P688"/>
    </row>
    <row r="689" spans="3:16">
      <c r="C689"/>
      <c r="D689"/>
      <c r="P689"/>
    </row>
    <row r="690" spans="3:16">
      <c r="C690"/>
      <c r="D690"/>
      <c r="P690"/>
    </row>
    <row r="691" spans="3:16">
      <c r="C691"/>
      <c r="D691"/>
      <c r="P691"/>
    </row>
    <row r="692" spans="3:16">
      <c r="C692"/>
      <c r="D692"/>
      <c r="P692"/>
    </row>
    <row r="693" spans="3:16">
      <c r="C693"/>
      <c r="D693"/>
      <c r="P693"/>
    </row>
    <row r="694" spans="3:16">
      <c r="C694"/>
      <c r="D694"/>
      <c r="P694"/>
    </row>
    <row r="695" spans="3:16">
      <c r="C695"/>
      <c r="D695"/>
      <c r="P695"/>
    </row>
    <row r="696" spans="3:16">
      <c r="C696"/>
      <c r="D696"/>
      <c r="P696"/>
    </row>
    <row r="697" spans="3:16">
      <c r="C697"/>
      <c r="D697"/>
      <c r="P697"/>
    </row>
    <row r="698" spans="3:16">
      <c r="C698"/>
      <c r="D698"/>
      <c r="P698"/>
    </row>
    <row r="699" spans="3:16">
      <c r="C699"/>
      <c r="D699"/>
      <c r="P699"/>
    </row>
    <row r="700" spans="3:16">
      <c r="C700"/>
      <c r="D700"/>
      <c r="P700"/>
    </row>
    <row r="701" spans="3:16">
      <c r="C701"/>
      <c r="D701"/>
      <c r="P701"/>
    </row>
    <row r="702" spans="3:16">
      <c r="C702"/>
      <c r="D702"/>
      <c r="P702"/>
    </row>
    <row r="703" spans="3:16">
      <c r="C703"/>
      <c r="D703"/>
      <c r="P703"/>
    </row>
    <row r="704" spans="3:16">
      <c r="C704"/>
      <c r="D704"/>
      <c r="P704"/>
    </row>
    <row r="705" spans="3:16">
      <c r="C705"/>
      <c r="D705"/>
      <c r="P705"/>
    </row>
    <row r="706" spans="3:16">
      <c r="C706"/>
      <c r="D706"/>
      <c r="P706"/>
    </row>
    <row r="707" spans="3:16">
      <c r="C707"/>
      <c r="D707"/>
      <c r="P707"/>
    </row>
    <row r="708" spans="3:16">
      <c r="C708"/>
      <c r="D708"/>
      <c r="P708"/>
    </row>
    <row r="709" spans="3:16">
      <c r="C709"/>
      <c r="D709"/>
      <c r="P709"/>
    </row>
    <row r="710" spans="3:16">
      <c r="C710"/>
      <c r="D710"/>
      <c r="P710"/>
    </row>
    <row r="711" spans="3:16">
      <c r="C711"/>
      <c r="D711"/>
      <c r="P711"/>
    </row>
    <row r="712" spans="3:16">
      <c r="C712"/>
      <c r="D712"/>
      <c r="P712"/>
    </row>
    <row r="713" spans="3:16">
      <c r="C713"/>
      <c r="D713"/>
      <c r="P713"/>
    </row>
    <row r="714" spans="3:16">
      <c r="C714"/>
      <c r="D714"/>
      <c r="P714"/>
    </row>
    <row r="715" spans="3:16">
      <c r="C715"/>
      <c r="D715"/>
      <c r="P715"/>
    </row>
    <row r="716" spans="3:16">
      <c r="C716"/>
      <c r="D716"/>
      <c r="P716"/>
    </row>
    <row r="717" spans="3:16">
      <c r="C717"/>
      <c r="D717"/>
      <c r="P717"/>
    </row>
    <row r="718" spans="3:16">
      <c r="C718"/>
      <c r="D718"/>
      <c r="P718"/>
    </row>
    <row r="719" spans="3:16">
      <c r="C719"/>
      <c r="D719"/>
      <c r="P719"/>
    </row>
    <row r="720" spans="3:16">
      <c r="C720"/>
      <c r="D720"/>
      <c r="P720"/>
    </row>
    <row r="721" spans="3:16">
      <c r="C721"/>
      <c r="D721"/>
      <c r="P721"/>
    </row>
    <row r="722" spans="3:16">
      <c r="C722"/>
      <c r="D722"/>
      <c r="P722"/>
    </row>
    <row r="723" spans="3:16">
      <c r="C723"/>
      <c r="D723"/>
      <c r="P723"/>
    </row>
    <row r="724" spans="3:16">
      <c r="C724"/>
      <c r="D724"/>
      <c r="P724"/>
    </row>
    <row r="725" spans="3:16">
      <c r="C725"/>
      <c r="D725"/>
      <c r="P725"/>
    </row>
    <row r="726" spans="3:16">
      <c r="C726"/>
      <c r="D726"/>
      <c r="P726"/>
    </row>
    <row r="727" spans="3:16">
      <c r="C727"/>
      <c r="D727"/>
      <c r="P727"/>
    </row>
    <row r="728" spans="3:16">
      <c r="C728"/>
      <c r="D728"/>
      <c r="P728"/>
    </row>
    <row r="729" spans="3:16">
      <c r="C729"/>
      <c r="D729"/>
      <c r="P729"/>
    </row>
    <row r="730" spans="3:16">
      <c r="C730"/>
      <c r="D730"/>
      <c r="P730"/>
    </row>
    <row r="731" spans="3:16">
      <c r="C731"/>
      <c r="D731"/>
      <c r="P731"/>
    </row>
    <row r="732" spans="3:16">
      <c r="C732"/>
      <c r="D732"/>
      <c r="P732"/>
    </row>
    <row r="733" spans="3:16">
      <c r="C733"/>
      <c r="D733"/>
      <c r="P733"/>
    </row>
    <row r="734" spans="3:16">
      <c r="C734"/>
      <c r="D734"/>
      <c r="P734"/>
    </row>
    <row r="735" spans="3:16">
      <c r="C735"/>
      <c r="D735"/>
      <c r="P735"/>
    </row>
    <row r="736" spans="3:16">
      <c r="C736"/>
      <c r="D736"/>
      <c r="P736"/>
    </row>
    <row r="737" spans="3:16">
      <c r="C737"/>
      <c r="D737"/>
      <c r="P737"/>
    </row>
    <row r="738" spans="3:16">
      <c r="C738"/>
      <c r="D738"/>
      <c r="P738"/>
    </row>
    <row r="739" spans="3:16">
      <c r="C739"/>
      <c r="D739"/>
      <c r="P739"/>
    </row>
    <row r="740" spans="3:16">
      <c r="C740"/>
      <c r="D740"/>
      <c r="P740"/>
    </row>
    <row r="741" spans="3:16">
      <c r="C741"/>
      <c r="D741"/>
      <c r="P741"/>
    </row>
    <row r="742" spans="3:16">
      <c r="C742"/>
      <c r="D742"/>
      <c r="P742"/>
    </row>
    <row r="743" spans="3:16">
      <c r="C743"/>
      <c r="D743"/>
      <c r="P743"/>
    </row>
    <row r="744" spans="3:16">
      <c r="C744"/>
      <c r="D744"/>
      <c r="P744"/>
    </row>
    <row r="745" spans="3:16">
      <c r="C745"/>
      <c r="D745"/>
      <c r="P745"/>
    </row>
    <row r="746" spans="3:16">
      <c r="C746"/>
      <c r="D746"/>
      <c r="P746"/>
    </row>
    <row r="747" spans="3:16">
      <c r="C747"/>
      <c r="D747"/>
      <c r="P747"/>
    </row>
    <row r="748" spans="3:16">
      <c r="C748"/>
      <c r="D748"/>
      <c r="P748"/>
    </row>
    <row r="749" spans="3:16">
      <c r="C749"/>
      <c r="D749"/>
      <c r="P749"/>
    </row>
    <row r="750" spans="3:16">
      <c r="C750"/>
      <c r="D750"/>
      <c r="P750"/>
    </row>
    <row r="751" spans="3:16">
      <c r="C751"/>
      <c r="D751"/>
      <c r="P751"/>
    </row>
    <row r="752" spans="3:16">
      <c r="C752"/>
      <c r="D752"/>
      <c r="P752"/>
    </row>
    <row r="753" spans="3:16">
      <c r="C753"/>
      <c r="D753"/>
      <c r="P753"/>
    </row>
    <row r="754" spans="3:16">
      <c r="C754"/>
      <c r="D754"/>
      <c r="P754"/>
    </row>
    <row r="755" spans="3:16">
      <c r="C755"/>
      <c r="D755"/>
      <c r="P755"/>
    </row>
    <row r="756" spans="3:16">
      <c r="C756"/>
      <c r="D756"/>
      <c r="P756"/>
    </row>
    <row r="757" spans="3:16">
      <c r="C757"/>
      <c r="D757"/>
      <c r="P757"/>
    </row>
    <row r="758" spans="3:16">
      <c r="C758"/>
      <c r="D758"/>
      <c r="P758"/>
    </row>
    <row r="759" spans="3:16">
      <c r="C759"/>
      <c r="D759"/>
      <c r="P759"/>
    </row>
    <row r="760" spans="3:16">
      <c r="C760"/>
      <c r="D760"/>
      <c r="P760"/>
    </row>
    <row r="761" spans="3:16">
      <c r="C761"/>
      <c r="D761"/>
      <c r="P761"/>
    </row>
    <row r="762" spans="3:16">
      <c r="C762"/>
      <c r="D762"/>
      <c r="P762"/>
    </row>
    <row r="763" spans="3:16">
      <c r="C763"/>
      <c r="D763"/>
      <c r="P763"/>
    </row>
    <row r="764" spans="3:16">
      <c r="C764"/>
      <c r="D764"/>
      <c r="P764"/>
    </row>
    <row r="765" spans="3:16">
      <c r="C765"/>
      <c r="D765"/>
      <c r="P765"/>
    </row>
    <row r="766" spans="3:16">
      <c r="C766"/>
      <c r="D766"/>
      <c r="P766"/>
    </row>
    <row r="767" spans="3:16">
      <c r="C767"/>
      <c r="D767"/>
      <c r="P767"/>
    </row>
    <row r="768" spans="3:16">
      <c r="C768"/>
      <c r="D768"/>
      <c r="P768"/>
    </row>
    <row r="769" spans="3:16">
      <c r="C769"/>
      <c r="D769"/>
      <c r="P769"/>
    </row>
    <row r="770" spans="3:16">
      <c r="C770"/>
      <c r="D770"/>
      <c r="P770"/>
    </row>
    <row r="771" spans="3:16">
      <c r="C771"/>
      <c r="D771"/>
      <c r="P771"/>
    </row>
    <row r="772" spans="3:16">
      <c r="C772"/>
      <c r="D772"/>
      <c r="P772"/>
    </row>
    <row r="773" spans="3:16">
      <c r="C773"/>
      <c r="D773"/>
      <c r="P773"/>
    </row>
    <row r="774" spans="3:16">
      <c r="C774"/>
      <c r="D774"/>
      <c r="P774"/>
    </row>
    <row r="775" spans="3:16">
      <c r="C775"/>
      <c r="D775"/>
      <c r="P775"/>
    </row>
    <row r="776" spans="3:16">
      <c r="C776"/>
      <c r="D776"/>
      <c r="P776"/>
    </row>
    <row r="777" spans="3:16">
      <c r="C777"/>
      <c r="D777"/>
      <c r="P777"/>
    </row>
    <row r="778" spans="3:16">
      <c r="C778"/>
      <c r="D778"/>
      <c r="P778"/>
    </row>
    <row r="779" spans="3:16">
      <c r="C779"/>
      <c r="D779"/>
      <c r="P779"/>
    </row>
    <row r="780" spans="3:16">
      <c r="C780"/>
      <c r="D780"/>
      <c r="P780"/>
    </row>
    <row r="781" spans="3:16">
      <c r="C781"/>
      <c r="D781"/>
      <c r="P781"/>
    </row>
    <row r="782" spans="3:16">
      <c r="C782"/>
      <c r="D782"/>
      <c r="P782"/>
    </row>
    <row r="783" spans="3:16">
      <c r="C783"/>
      <c r="D783"/>
      <c r="P783"/>
    </row>
    <row r="784" spans="3:16">
      <c r="C784"/>
      <c r="D784"/>
      <c r="P784"/>
    </row>
    <row r="785" spans="3:16">
      <c r="C785"/>
      <c r="D785"/>
      <c r="P785"/>
    </row>
    <row r="786" spans="3:16">
      <c r="C786"/>
      <c r="D786"/>
      <c r="P786"/>
    </row>
    <row r="787" spans="3:16">
      <c r="C787"/>
      <c r="D787"/>
      <c r="P787"/>
    </row>
    <row r="788" spans="3:16">
      <c r="C788"/>
      <c r="D788"/>
      <c r="P788"/>
    </row>
    <row r="789" spans="3:16">
      <c r="C789"/>
      <c r="D789"/>
      <c r="P789"/>
    </row>
    <row r="790" spans="3:16">
      <c r="C790"/>
      <c r="D790"/>
      <c r="P790"/>
    </row>
    <row r="791" spans="3:16">
      <c r="C791"/>
      <c r="D791"/>
      <c r="P791"/>
    </row>
    <row r="792" spans="3:16">
      <c r="C792"/>
      <c r="D792"/>
      <c r="P792"/>
    </row>
    <row r="793" spans="3:16">
      <c r="C793"/>
      <c r="D793"/>
      <c r="P793"/>
    </row>
    <row r="794" spans="3:16">
      <c r="C794"/>
      <c r="D794"/>
      <c r="P794"/>
    </row>
    <row r="795" spans="3:16">
      <c r="C795"/>
      <c r="D795"/>
      <c r="P795"/>
    </row>
    <row r="796" spans="3:16">
      <c r="C796"/>
      <c r="D796"/>
      <c r="P796"/>
    </row>
    <row r="797" spans="3:16">
      <c r="C797"/>
      <c r="D797"/>
      <c r="P797"/>
    </row>
    <row r="798" spans="3:16">
      <c r="C798"/>
      <c r="D798"/>
      <c r="P798"/>
    </row>
    <row r="799" spans="3:16">
      <c r="C799"/>
      <c r="D799"/>
      <c r="P799"/>
    </row>
    <row r="800" spans="3:16">
      <c r="C800"/>
      <c r="D800"/>
      <c r="P800"/>
    </row>
    <row r="801" spans="3:16">
      <c r="C801"/>
      <c r="D801"/>
      <c r="P801"/>
    </row>
    <row r="802" spans="3:16">
      <c r="C802"/>
      <c r="D802"/>
      <c r="P802"/>
    </row>
    <row r="803" spans="3:16">
      <c r="C803"/>
      <c r="D803"/>
      <c r="P803"/>
    </row>
    <row r="804" spans="3:16">
      <c r="C804"/>
      <c r="D804"/>
      <c r="P804"/>
    </row>
    <row r="805" spans="3:16">
      <c r="C805"/>
      <c r="D805"/>
      <c r="P805"/>
    </row>
    <row r="806" spans="3:16">
      <c r="C806"/>
      <c r="D806"/>
      <c r="P806"/>
    </row>
    <row r="807" spans="3:16">
      <c r="C807"/>
      <c r="D807"/>
      <c r="P807"/>
    </row>
    <row r="808" spans="3:16">
      <c r="C808"/>
      <c r="D808"/>
      <c r="P808"/>
    </row>
    <row r="809" spans="3:16">
      <c r="C809"/>
      <c r="D809"/>
      <c r="P809"/>
    </row>
    <row r="810" spans="3:16">
      <c r="C810"/>
      <c r="D810"/>
      <c r="P810"/>
    </row>
    <row r="811" spans="3:16">
      <c r="C811"/>
      <c r="D811"/>
      <c r="P811"/>
    </row>
    <row r="812" spans="3:16">
      <c r="C812"/>
      <c r="D812"/>
      <c r="P812"/>
    </row>
    <row r="813" spans="3:16">
      <c r="C813"/>
      <c r="D813"/>
      <c r="P813"/>
    </row>
    <row r="814" spans="3:16">
      <c r="C814"/>
      <c r="D814"/>
      <c r="P814"/>
    </row>
    <row r="815" spans="3:16">
      <c r="C815"/>
      <c r="D815"/>
      <c r="P815"/>
    </row>
    <row r="816" spans="3:16">
      <c r="C816"/>
      <c r="D816"/>
      <c r="P816"/>
    </row>
    <row r="817" spans="3:16">
      <c r="C817"/>
      <c r="D817"/>
      <c r="P817"/>
    </row>
    <row r="818" spans="3:16">
      <c r="C818"/>
      <c r="D818"/>
      <c r="P818"/>
    </row>
    <row r="819" spans="3:16">
      <c r="C819"/>
      <c r="D819"/>
      <c r="P819"/>
    </row>
    <row r="820" spans="3:16">
      <c r="C820"/>
      <c r="D820"/>
      <c r="P820"/>
    </row>
    <row r="821" spans="3:16">
      <c r="C821"/>
      <c r="D821"/>
      <c r="P821"/>
    </row>
    <row r="822" spans="3:16">
      <c r="C822"/>
      <c r="D822"/>
      <c r="P822"/>
    </row>
    <row r="823" spans="3:16">
      <c r="C823"/>
      <c r="D823"/>
      <c r="P823"/>
    </row>
    <row r="824" spans="3:16">
      <c r="C824"/>
      <c r="D824"/>
      <c r="P824"/>
    </row>
    <row r="825" spans="3:16">
      <c r="C825"/>
      <c r="D825"/>
      <c r="P825"/>
    </row>
    <row r="826" spans="3:16">
      <c r="C826"/>
      <c r="D826"/>
      <c r="P826"/>
    </row>
    <row r="827" spans="3:16">
      <c r="C827"/>
      <c r="D827"/>
      <c r="P827"/>
    </row>
    <row r="828" spans="3:16">
      <c r="C828"/>
      <c r="D828"/>
      <c r="P828"/>
    </row>
    <row r="829" spans="3:16">
      <c r="C829"/>
      <c r="D829"/>
      <c r="P829"/>
    </row>
    <row r="830" spans="3:16">
      <c r="C830"/>
      <c r="D830"/>
      <c r="P830"/>
    </row>
    <row r="831" spans="3:16">
      <c r="C831"/>
      <c r="D831"/>
      <c r="P831"/>
    </row>
    <row r="832" spans="3:16">
      <c r="C832"/>
      <c r="D832"/>
      <c r="P832"/>
    </row>
    <row r="833" spans="3:16">
      <c r="C833"/>
      <c r="D833"/>
      <c r="P833"/>
    </row>
    <row r="834" spans="3:16">
      <c r="C834"/>
      <c r="D834"/>
      <c r="P834"/>
    </row>
    <row r="835" spans="3:16">
      <c r="C835"/>
      <c r="D835"/>
      <c r="P835"/>
    </row>
    <row r="836" spans="3:16">
      <c r="C836"/>
      <c r="D836"/>
      <c r="P836"/>
    </row>
    <row r="837" spans="3:16">
      <c r="C837"/>
      <c r="D837"/>
      <c r="P837"/>
    </row>
    <row r="838" spans="3:16">
      <c r="C838"/>
      <c r="D838"/>
      <c r="P838"/>
    </row>
    <row r="839" spans="3:16">
      <c r="C839"/>
      <c r="D839"/>
      <c r="P839"/>
    </row>
    <row r="840" spans="3:16">
      <c r="C840"/>
      <c r="D840"/>
      <c r="P840"/>
    </row>
    <row r="841" spans="3:16">
      <c r="C841"/>
      <c r="D841"/>
      <c r="P841"/>
    </row>
    <row r="842" spans="3:16">
      <c r="C842"/>
      <c r="D842"/>
      <c r="P842"/>
    </row>
    <row r="843" spans="3:16">
      <c r="C843"/>
      <c r="D843"/>
      <c r="P843"/>
    </row>
    <row r="844" spans="3:16">
      <c r="C844"/>
      <c r="D844"/>
      <c r="P844"/>
    </row>
    <row r="845" spans="3:16">
      <c r="C845"/>
      <c r="D845"/>
      <c r="P845"/>
    </row>
    <row r="846" spans="3:16">
      <c r="C846"/>
      <c r="D846"/>
      <c r="P846"/>
    </row>
    <row r="847" spans="3:16">
      <c r="C847"/>
      <c r="D847"/>
      <c r="P847"/>
    </row>
    <row r="848" spans="3:16">
      <c r="C848"/>
      <c r="D848"/>
      <c r="P848"/>
    </row>
    <row r="849" spans="3:16">
      <c r="C849"/>
      <c r="D849"/>
      <c r="P849"/>
    </row>
    <row r="850" spans="3:16">
      <c r="C850"/>
      <c r="D850"/>
      <c r="P850"/>
    </row>
    <row r="851" spans="3:16">
      <c r="C851"/>
      <c r="D851"/>
      <c r="P851"/>
    </row>
    <row r="852" spans="3:16">
      <c r="C852"/>
      <c r="D852"/>
      <c r="P852"/>
    </row>
    <row r="853" spans="3:16">
      <c r="C853"/>
      <c r="D853"/>
      <c r="P853"/>
    </row>
    <row r="854" spans="3:16">
      <c r="C854"/>
      <c r="D854"/>
      <c r="P854"/>
    </row>
    <row r="855" spans="3:16">
      <c r="C855"/>
      <c r="D855"/>
      <c r="P855"/>
    </row>
    <row r="856" spans="3:16">
      <c r="C856"/>
      <c r="D856"/>
      <c r="P856"/>
    </row>
    <row r="857" spans="3:16">
      <c r="C857"/>
      <c r="D857"/>
      <c r="P857"/>
    </row>
    <row r="858" spans="3:16">
      <c r="C858"/>
      <c r="D858"/>
      <c r="P858"/>
    </row>
    <row r="859" spans="3:16">
      <c r="C859"/>
      <c r="D859"/>
      <c r="P859"/>
    </row>
    <row r="860" spans="3:16">
      <c r="C860"/>
      <c r="D860"/>
      <c r="P860"/>
    </row>
    <row r="861" spans="3:16">
      <c r="C861"/>
      <c r="D861"/>
      <c r="P861"/>
    </row>
    <row r="862" spans="3:16">
      <c r="C862"/>
      <c r="D862"/>
      <c r="P862"/>
    </row>
    <row r="863" spans="3:16">
      <c r="C863"/>
      <c r="D863"/>
      <c r="P863"/>
    </row>
    <row r="864" spans="3:16">
      <c r="C864"/>
      <c r="D864"/>
      <c r="P864"/>
    </row>
    <row r="865" spans="3:16">
      <c r="C865"/>
      <c r="D865"/>
      <c r="P865"/>
    </row>
    <row r="866" spans="3:16">
      <c r="C866"/>
      <c r="D866"/>
      <c r="P866"/>
    </row>
    <row r="867" spans="3:16">
      <c r="C867"/>
      <c r="D867"/>
      <c r="P867"/>
    </row>
    <row r="868" spans="3:16">
      <c r="C868"/>
      <c r="D868"/>
      <c r="P868"/>
    </row>
    <row r="869" spans="3:16">
      <c r="C869"/>
      <c r="D869"/>
      <c r="P869"/>
    </row>
    <row r="870" spans="3:16">
      <c r="C870"/>
      <c r="D870"/>
      <c r="P870"/>
    </row>
    <row r="871" spans="3:16">
      <c r="C871"/>
      <c r="D871"/>
      <c r="P871"/>
    </row>
    <row r="872" spans="3:16">
      <c r="C872"/>
      <c r="D872"/>
      <c r="P872"/>
    </row>
    <row r="873" spans="3:16">
      <c r="C873"/>
      <c r="D873"/>
      <c r="P873"/>
    </row>
    <row r="874" spans="3:16">
      <c r="C874"/>
      <c r="D874"/>
      <c r="P874"/>
    </row>
    <row r="875" spans="3:16">
      <c r="C875"/>
      <c r="D875"/>
      <c r="P875"/>
    </row>
    <row r="876" spans="3:16">
      <c r="C876"/>
      <c r="D876"/>
      <c r="P876"/>
    </row>
    <row r="877" spans="3:16">
      <c r="C877"/>
      <c r="D877"/>
      <c r="P877"/>
    </row>
    <row r="878" spans="3:16">
      <c r="C878"/>
      <c r="D878"/>
      <c r="P878"/>
    </row>
    <row r="879" spans="3:16">
      <c r="C879"/>
      <c r="D879"/>
      <c r="P879"/>
    </row>
    <row r="880" spans="3:16">
      <c r="C880"/>
      <c r="D880"/>
      <c r="P880"/>
    </row>
    <row r="881" spans="3:16">
      <c r="C881"/>
      <c r="D881"/>
      <c r="P881"/>
    </row>
    <row r="882" spans="3:16">
      <c r="C882"/>
      <c r="D882"/>
      <c r="P882"/>
    </row>
    <row r="883" spans="3:16">
      <c r="C883"/>
      <c r="D883"/>
      <c r="P883"/>
    </row>
    <row r="884" spans="3:16">
      <c r="C884"/>
      <c r="D884"/>
      <c r="P884"/>
    </row>
    <row r="885" spans="3:16">
      <c r="C885"/>
      <c r="D885"/>
      <c r="P885"/>
    </row>
    <row r="886" spans="3:16">
      <c r="C886"/>
      <c r="D886"/>
      <c r="P886"/>
    </row>
    <row r="887" spans="3:16">
      <c r="C887"/>
      <c r="D887"/>
      <c r="P887"/>
    </row>
    <row r="888" spans="3:16">
      <c r="C888"/>
      <c r="D888"/>
      <c r="P888"/>
    </row>
    <row r="889" spans="3:16">
      <c r="C889"/>
      <c r="D889"/>
      <c r="P889"/>
    </row>
    <row r="890" spans="3:16">
      <c r="C890"/>
      <c r="D890"/>
      <c r="P890"/>
    </row>
    <row r="891" spans="3:16">
      <c r="C891"/>
      <c r="D891"/>
      <c r="P891"/>
    </row>
    <row r="892" spans="3:16">
      <c r="C892"/>
      <c r="D892"/>
      <c r="P892"/>
    </row>
    <row r="893" spans="3:16">
      <c r="C893"/>
      <c r="D893"/>
      <c r="P893"/>
    </row>
    <row r="894" spans="3:16">
      <c r="C894"/>
      <c r="D894"/>
      <c r="P894"/>
    </row>
    <row r="895" spans="3:16">
      <c r="C895"/>
      <c r="D895"/>
      <c r="P895"/>
    </row>
    <row r="896" spans="3:16">
      <c r="C896"/>
      <c r="D896"/>
      <c r="P896"/>
    </row>
    <row r="897" spans="3:16">
      <c r="C897"/>
      <c r="D897"/>
      <c r="P897"/>
    </row>
    <row r="898" spans="3:16">
      <c r="C898"/>
      <c r="D898"/>
      <c r="P898"/>
    </row>
    <row r="899" spans="3:16">
      <c r="C899"/>
      <c r="D899"/>
      <c r="P899"/>
    </row>
    <row r="900" spans="3:16">
      <c r="C900"/>
      <c r="D900"/>
      <c r="P900"/>
    </row>
    <row r="901" spans="3:16">
      <c r="C901"/>
      <c r="D901"/>
      <c r="P901"/>
    </row>
    <row r="902" spans="3:16">
      <c r="C902"/>
      <c r="D902"/>
      <c r="P902"/>
    </row>
    <row r="903" spans="3:16">
      <c r="C903"/>
      <c r="D903"/>
      <c r="P903"/>
    </row>
    <row r="904" spans="3:16">
      <c r="C904"/>
      <c r="D904"/>
      <c r="P904"/>
    </row>
    <row r="905" spans="3:16">
      <c r="C905"/>
      <c r="D905"/>
      <c r="P905"/>
    </row>
    <row r="906" spans="3:16">
      <c r="C906"/>
      <c r="D906"/>
      <c r="P906"/>
    </row>
    <row r="907" spans="3:16">
      <c r="C907"/>
      <c r="D907"/>
      <c r="P907"/>
    </row>
    <row r="908" spans="3:16">
      <c r="C908"/>
      <c r="D908"/>
      <c r="P908"/>
    </row>
    <row r="909" spans="3:16">
      <c r="C909"/>
      <c r="D909"/>
      <c r="P909"/>
    </row>
    <row r="910" spans="3:16">
      <c r="C910"/>
      <c r="D910"/>
      <c r="P910"/>
    </row>
    <row r="911" spans="3:16">
      <c r="C911"/>
      <c r="D911"/>
      <c r="P911"/>
    </row>
    <row r="912" spans="3:16">
      <c r="C912"/>
      <c r="D912"/>
      <c r="P912"/>
    </row>
    <row r="913" spans="3:16">
      <c r="C913"/>
      <c r="D913"/>
      <c r="P913"/>
    </row>
    <row r="914" spans="3:16">
      <c r="C914"/>
      <c r="D914"/>
      <c r="P914"/>
    </row>
    <row r="915" spans="3:16">
      <c r="C915"/>
      <c r="D915"/>
      <c r="P915"/>
    </row>
    <row r="916" spans="3:16">
      <c r="C916"/>
      <c r="D916"/>
      <c r="P916"/>
    </row>
    <row r="917" spans="3:16">
      <c r="C917"/>
      <c r="D917"/>
      <c r="P917"/>
    </row>
    <row r="918" spans="3:16">
      <c r="C918"/>
      <c r="D918"/>
      <c r="P918"/>
    </row>
    <row r="919" spans="3:16">
      <c r="C919"/>
      <c r="D919"/>
      <c r="P919"/>
    </row>
    <row r="920" spans="3:16">
      <c r="C920"/>
      <c r="D920"/>
      <c r="P920"/>
    </row>
    <row r="921" spans="3:16">
      <c r="C921"/>
      <c r="D921"/>
      <c r="P921"/>
    </row>
    <row r="922" spans="3:16">
      <c r="C922"/>
      <c r="D922"/>
      <c r="P922"/>
    </row>
    <row r="923" spans="3:16">
      <c r="C923"/>
      <c r="D923"/>
      <c r="P923"/>
    </row>
    <row r="924" spans="3:16">
      <c r="C924"/>
      <c r="D924"/>
      <c r="P924"/>
    </row>
    <row r="925" spans="3:16">
      <c r="C925"/>
      <c r="D925"/>
      <c r="P925"/>
    </row>
    <row r="926" spans="3:16">
      <c r="C926"/>
      <c r="D926"/>
      <c r="P926"/>
    </row>
    <row r="927" spans="3:16">
      <c r="C927"/>
      <c r="D927"/>
      <c r="P927"/>
    </row>
    <row r="928" spans="3:16">
      <c r="C928"/>
      <c r="D928"/>
      <c r="P928"/>
    </row>
    <row r="929" spans="3:16">
      <c r="C929"/>
      <c r="D929"/>
      <c r="P929"/>
    </row>
    <row r="930" spans="3:16">
      <c r="C930"/>
      <c r="D930"/>
      <c r="P930"/>
    </row>
    <row r="931" spans="3:16">
      <c r="C931"/>
      <c r="D931"/>
      <c r="P931"/>
    </row>
    <row r="932" spans="3:16">
      <c r="C932"/>
      <c r="D932"/>
      <c r="P932"/>
    </row>
    <row r="933" spans="3:16">
      <c r="C933"/>
      <c r="D933"/>
      <c r="P933"/>
    </row>
    <row r="934" spans="3:16">
      <c r="C934"/>
      <c r="D934"/>
      <c r="P934"/>
    </row>
    <row r="935" spans="3:16">
      <c r="C935"/>
      <c r="D935"/>
      <c r="P935"/>
    </row>
    <row r="936" spans="3:16">
      <c r="C936"/>
      <c r="D936"/>
      <c r="P936"/>
    </row>
    <row r="937" spans="3:16">
      <c r="C937"/>
      <c r="D937"/>
      <c r="P937"/>
    </row>
    <row r="938" spans="3:16">
      <c r="C938"/>
      <c r="D938"/>
      <c r="P938"/>
    </row>
    <row r="939" spans="3:16">
      <c r="C939"/>
      <c r="D939"/>
      <c r="P939"/>
    </row>
    <row r="940" spans="3:16">
      <c r="C940"/>
      <c r="D940"/>
      <c r="P940"/>
    </row>
    <row r="941" spans="3:16">
      <c r="C941"/>
      <c r="D941"/>
      <c r="P941"/>
    </row>
    <row r="942" spans="3:16">
      <c r="C942"/>
      <c r="D942"/>
      <c r="P942"/>
    </row>
    <row r="943" spans="3:16">
      <c r="C943"/>
      <c r="D943"/>
      <c r="P943"/>
    </row>
    <row r="944" spans="3:16">
      <c r="C944"/>
      <c r="D944"/>
      <c r="P944"/>
    </row>
    <row r="945" spans="3:16">
      <c r="C945"/>
      <c r="D945"/>
      <c r="P945"/>
    </row>
    <row r="946" spans="3:16">
      <c r="C946"/>
      <c r="D946"/>
      <c r="P946"/>
    </row>
    <row r="947" spans="3:16">
      <c r="C947"/>
      <c r="D947"/>
      <c r="P947"/>
    </row>
    <row r="948" spans="3:16">
      <c r="C948"/>
      <c r="D948"/>
      <c r="P948"/>
    </row>
    <row r="949" spans="3:16">
      <c r="C949"/>
      <c r="D949"/>
      <c r="P949"/>
    </row>
    <row r="950" spans="3:16">
      <c r="C950"/>
      <c r="D950"/>
      <c r="P950"/>
    </row>
    <row r="951" spans="3:16">
      <c r="C951"/>
      <c r="D951"/>
      <c r="P951"/>
    </row>
    <row r="952" spans="3:16">
      <c r="C952"/>
      <c r="D952"/>
      <c r="P952"/>
    </row>
    <row r="953" spans="3:16">
      <c r="C953"/>
      <c r="D953"/>
      <c r="P953"/>
    </row>
    <row r="954" spans="3:16">
      <c r="C954"/>
      <c r="D954"/>
      <c r="P954"/>
    </row>
    <row r="955" spans="3:16">
      <c r="C955"/>
      <c r="D955"/>
      <c r="P955"/>
    </row>
    <row r="956" spans="3:16">
      <c r="C956"/>
      <c r="D956"/>
      <c r="P956"/>
    </row>
    <row r="957" spans="3:16">
      <c r="C957"/>
      <c r="D957"/>
      <c r="P957"/>
    </row>
    <row r="958" spans="3:16">
      <c r="C958"/>
      <c r="D958"/>
      <c r="P958"/>
    </row>
    <row r="959" spans="3:16">
      <c r="C959"/>
      <c r="D959"/>
      <c r="P959"/>
    </row>
    <row r="960" spans="3:16">
      <c r="C960"/>
      <c r="D960"/>
      <c r="P960"/>
    </row>
    <row r="961" spans="3:16">
      <c r="C961"/>
      <c r="D961"/>
      <c r="P961"/>
    </row>
    <row r="962" spans="3:16">
      <c r="C962"/>
      <c r="D962"/>
      <c r="P962"/>
    </row>
    <row r="963" spans="3:16">
      <c r="C963"/>
      <c r="D963"/>
      <c r="P963"/>
    </row>
    <row r="964" spans="3:16">
      <c r="C964"/>
      <c r="D964"/>
      <c r="P964"/>
    </row>
    <row r="965" spans="3:16">
      <c r="C965"/>
      <c r="D965"/>
      <c r="P965"/>
    </row>
    <row r="966" spans="3:16">
      <c r="C966"/>
      <c r="D966"/>
      <c r="P966"/>
    </row>
    <row r="967" spans="3:16">
      <c r="C967"/>
      <c r="D967"/>
      <c r="P967"/>
    </row>
    <row r="968" spans="3:16">
      <c r="C968"/>
      <c r="D968"/>
      <c r="P968"/>
    </row>
    <row r="969" spans="3:16">
      <c r="C969"/>
      <c r="D969"/>
      <c r="P969"/>
    </row>
    <row r="970" spans="3:16">
      <c r="C970"/>
      <c r="D970"/>
      <c r="P970"/>
    </row>
    <row r="971" spans="3:16">
      <c r="C971"/>
      <c r="D971"/>
      <c r="P971"/>
    </row>
    <row r="972" spans="3:16">
      <c r="C972"/>
      <c r="D972"/>
      <c r="P972"/>
    </row>
    <row r="973" spans="3:16">
      <c r="C973"/>
      <c r="D973"/>
      <c r="P973"/>
    </row>
    <row r="974" spans="3:16">
      <c r="C974"/>
      <c r="D974"/>
      <c r="P974"/>
    </row>
    <row r="975" spans="3:16">
      <c r="C975"/>
      <c r="D975"/>
      <c r="P975"/>
    </row>
    <row r="976" spans="3:16">
      <c r="C976"/>
      <c r="D976"/>
      <c r="P976"/>
    </row>
    <row r="977" spans="3:16">
      <c r="C977"/>
      <c r="D977"/>
      <c r="P977"/>
    </row>
    <row r="978" spans="3:16">
      <c r="C978"/>
      <c r="D978"/>
      <c r="P978"/>
    </row>
    <row r="979" spans="3:16">
      <c r="C979"/>
      <c r="D979"/>
      <c r="P979"/>
    </row>
    <row r="980" spans="3:16">
      <c r="C980"/>
      <c r="D980"/>
      <c r="P980"/>
    </row>
    <row r="981" spans="3:16">
      <c r="C981"/>
      <c r="D981"/>
      <c r="P981"/>
    </row>
    <row r="982" spans="3:16">
      <c r="C982"/>
      <c r="D982"/>
      <c r="P982"/>
    </row>
    <row r="983" spans="3:16">
      <c r="C983"/>
      <c r="D983"/>
      <c r="P983"/>
    </row>
    <row r="984" spans="3:16">
      <c r="C984"/>
      <c r="D984"/>
      <c r="P984"/>
    </row>
    <row r="985" spans="3:16">
      <c r="C985"/>
      <c r="D985"/>
      <c r="P985"/>
    </row>
    <row r="986" spans="3:16">
      <c r="C986"/>
      <c r="D986"/>
      <c r="P986"/>
    </row>
    <row r="987" spans="3:16">
      <c r="C987"/>
      <c r="D987"/>
      <c r="P987"/>
    </row>
    <row r="988" spans="3:16">
      <c r="C988"/>
      <c r="D988"/>
      <c r="P988"/>
    </row>
    <row r="989" spans="3:16">
      <c r="C989"/>
      <c r="D989"/>
      <c r="P989"/>
    </row>
    <row r="990" spans="3:16">
      <c r="C990"/>
      <c r="D990"/>
      <c r="P990"/>
    </row>
    <row r="991" spans="3:16">
      <c r="C991"/>
      <c r="D991"/>
      <c r="P991"/>
    </row>
    <row r="992" spans="3:16">
      <c r="C992"/>
      <c r="D992"/>
      <c r="P992"/>
    </row>
    <row r="993" spans="3:16">
      <c r="C993"/>
      <c r="D993"/>
      <c r="P993"/>
    </row>
    <row r="994" spans="3:16">
      <c r="C994"/>
      <c r="D994"/>
      <c r="P994"/>
    </row>
    <row r="995" spans="3:16">
      <c r="C995"/>
      <c r="D995"/>
      <c r="P995"/>
    </row>
    <row r="996" spans="3:16">
      <c r="C996"/>
      <c r="D996"/>
      <c r="P996"/>
    </row>
    <row r="997" spans="3:16">
      <c r="C997"/>
      <c r="D997"/>
      <c r="P997"/>
    </row>
    <row r="998" spans="3:16">
      <c r="C998"/>
      <c r="D998"/>
      <c r="P998"/>
    </row>
    <row r="999" spans="3:16">
      <c r="C999"/>
      <c r="D999"/>
      <c r="P999"/>
    </row>
    <row r="1000" spans="3:16">
      <c r="C1000"/>
      <c r="D1000"/>
      <c r="P1000"/>
    </row>
  </sheetData>
  <autoFilter ref="A1:P258">
    <filterColumn colId="5"/>
    <filterColumn colId="6"/>
    <filterColumn colId="10"/>
    <filterColumn colId="11"/>
    <filterColumn colId="12"/>
    <filterColumn colId="14"/>
  </autoFilter>
  <dataConsolidate/>
  <hyperlinks>
    <hyperlink ref="B2" r:id="rId1" display="http://localhost:8111/load_object?objects=w24878151&amp;referrers=false"/>
    <hyperlink ref="B3" r:id="rId2" display="http://localhost:8111/load_object?objects=w35447047&amp;referrers=false"/>
    <hyperlink ref="B4" r:id="rId3" display="http://localhost:8111/load_object?objects=w35447048&amp;referrers=false"/>
    <hyperlink ref="B5" r:id="rId4" display="http://localhost:8111/load_object?objects=w35447050&amp;referrers=false"/>
    <hyperlink ref="B6" r:id="rId5" display="http://localhost:8111/load_object?objects=w35447051&amp;referrers=false"/>
    <hyperlink ref="B7" r:id="rId6" display="http://localhost:8111/load_object?objects=w35546654&amp;referrers=false"/>
    <hyperlink ref="B8" r:id="rId7" display="http://localhost:8111/load_object?objects=w35551876&amp;referrers=false"/>
    <hyperlink ref="B9" r:id="rId8" display="http://localhost:8111/load_object?objects=w35551877&amp;referrers=false"/>
    <hyperlink ref="B10" r:id="rId9" display="http://localhost:8111/load_object?objects=w35551878&amp;referrers=false"/>
    <hyperlink ref="B11" r:id="rId10" display="http://localhost:8111/load_object?objects=w35551879&amp;referrers=false"/>
    <hyperlink ref="B12" r:id="rId11" display="http://localhost:8111/load_object?objects=w36128100&amp;referrers=false"/>
    <hyperlink ref="B13" r:id="rId12" display="http://localhost:8111/load_object?objects=w36128101&amp;referrers=false"/>
    <hyperlink ref="B14" r:id="rId13" display="http://localhost:8111/load_object?objects=w36128102&amp;referrers=false"/>
    <hyperlink ref="B15" r:id="rId14" display="http://localhost:8111/load_object?objects=w36129618&amp;referrers=false"/>
    <hyperlink ref="B16" r:id="rId15" display="http://localhost:8111/load_object?objects=w36129619&amp;referrers=false"/>
    <hyperlink ref="B17" r:id="rId16" display="http://localhost:8111/load_object?objects=w36866037&amp;referrers=false"/>
    <hyperlink ref="B18" r:id="rId17" display="http://localhost:8111/load_object?objects=w36888077&amp;referrers=false"/>
    <hyperlink ref="E18" r:id="rId18" display="http://temples.ru/card.php?ID=4832"/>
    <hyperlink ref="B19" r:id="rId19" display="http://localhost:8111/load_object?objects=w40314758&amp;referrers=false"/>
    <hyperlink ref="E19" r:id="rId20" display="http://temples.ru/card.php?ID=2237"/>
    <hyperlink ref="B20" r:id="rId21" display="http://localhost:8111/load_object?objects=w40483633&amp;referrers=false"/>
    <hyperlink ref="E20" r:id="rId22" display="http://temples.ru/card.php?ID=2280"/>
    <hyperlink ref="B21" r:id="rId23" display="http://localhost:8111/load_object?objects=w41279806&amp;referrers=false"/>
    <hyperlink ref="E21" r:id="rId24" display="http://temples.ru/card.php?ID=2238"/>
    <hyperlink ref="B22" r:id="rId25" display="http://localhost:8111/load_object?objects=w45507948&amp;referrers=false"/>
    <hyperlink ref="E22" r:id="rId26" display="http://temples.ru/card.php?ID=4877"/>
    <hyperlink ref="B23" r:id="rId27" display="http://localhost:8111/load_object?objects=w70698975&amp;referrers=false"/>
    <hyperlink ref="E23" r:id="rId28" display="http://temples.ru/card.php?ID=1344"/>
    <hyperlink ref="B24" r:id="rId29" display="http://localhost:8111/load_object?objects=w85523961&amp;referrers=false"/>
    <hyperlink ref="E24" r:id="rId30" display="http://temples.ru/card.php?ID=5416"/>
    <hyperlink ref="B25" r:id="rId31" display="http://localhost:8111/load_object?objects=w86022833&amp;referrers=false"/>
    <hyperlink ref="E25" r:id="rId32" display="http://temples.ru/card.php?ID=3437"/>
    <hyperlink ref="B26" r:id="rId33" display="http://localhost:8111/load_object?objects=w86056118&amp;referrers=false"/>
    <hyperlink ref="E26" r:id="rId34" display="http://temples.ru/card.php?ID=5157"/>
    <hyperlink ref="B27" r:id="rId35" display="http://localhost:8111/load_object?objects=w86056119&amp;referrers=false"/>
    <hyperlink ref="E27" r:id="rId36" display="http://temples.ru/card.php?ID=5299"/>
    <hyperlink ref="B28" r:id="rId37" display="http://localhost:8111/load_object?objects=w86056120&amp;referrers=false"/>
    <hyperlink ref="E28" r:id="rId38" display="http://temples.ru/card.php?ID=5426"/>
    <hyperlink ref="B29" r:id="rId39" display="http://localhost:8111/load_object?objects=w86537254&amp;referrers=false"/>
    <hyperlink ref="E29" r:id="rId40" display="http://temples.ru/card.php?ID=7261"/>
    <hyperlink ref="B30" r:id="rId41" display="http://localhost:8111/load_object?objects=w87567579&amp;referrers=false"/>
    <hyperlink ref="E30" r:id="rId42" display="http://temples.ru/card.php?ID=7256"/>
    <hyperlink ref="B31" r:id="rId43" display="http://localhost:8111/load_object?objects=w87567582&amp;referrers=false"/>
    <hyperlink ref="E31" r:id="rId44" display="http://temples.ru/card.php?ID=5151"/>
    <hyperlink ref="B32" r:id="rId45" display="http://localhost:8111/load_object?objects=w87803779&amp;referrers=false"/>
    <hyperlink ref="E32" r:id="rId46" display="http://temples.ru/card.php?ID=10558"/>
    <hyperlink ref="B33" r:id="rId47" display="http://localhost:8111/load_object?objects=w87827025&amp;referrers=false"/>
    <hyperlink ref="E33" r:id="rId48" display="http://temples.ru/card.php?ID=5428"/>
    <hyperlink ref="B34" r:id="rId49" display="http://localhost:8111/load_object?objects=w87827039&amp;referrers=false"/>
    <hyperlink ref="E34" r:id="rId50" display="http://temples.ru/card.php?ID=5430"/>
    <hyperlink ref="B35" r:id="rId51" display="http://localhost:8111/load_object?objects=w87885572&amp;referrers=false"/>
    <hyperlink ref="E35" r:id="rId52" display="http://temples.ru/card.php?ID=5282"/>
    <hyperlink ref="B36" r:id="rId53" display="http://localhost:8111/load_object?objects=w87885590&amp;referrers=false"/>
    <hyperlink ref="E36" r:id="rId54" display="http://temples.ru/card.php?ID=5281"/>
    <hyperlink ref="B37" r:id="rId55" display="http://localhost:8111/load_object?objects=w87965538&amp;referrers=false"/>
    <hyperlink ref="E37" r:id="rId56" display="http://temples.ru/card.php?ID=5154"/>
    <hyperlink ref="B38" r:id="rId57" display="http://localhost:8111/load_object?objects=w87965546&amp;referrers=false"/>
    <hyperlink ref="E38" r:id="rId58" display="http://temples.ru/card.php?ID=5153"/>
    <hyperlink ref="B39" r:id="rId59" display="http://localhost:8111/load_object?objects=w87965554&amp;referrers=false"/>
    <hyperlink ref="B40" r:id="rId60" display="http://localhost:8111/load_object?objects=w87965555&amp;referrers=false"/>
    <hyperlink ref="E40" r:id="rId61" display="http://temples.ru/card.php?ID=5155"/>
    <hyperlink ref="B41" r:id="rId62" display="http://localhost:8111/load_object?objects=w87984181&amp;referrers=false"/>
    <hyperlink ref="B42" r:id="rId63" display="http://localhost:8111/load_object?objects=w87993338&amp;referrers=false"/>
    <hyperlink ref="E42" r:id="rId64" display="http://temples.ru/card.php?ID=5124"/>
    <hyperlink ref="B43" r:id="rId65" display="http://localhost:8111/load_object?objects=w87993354&amp;referrers=false"/>
    <hyperlink ref="E43" r:id="rId66" display="http://temples.ru/card.php?ID=5123"/>
    <hyperlink ref="B44" r:id="rId67" display="http://localhost:8111/load_object?objects=w87993398&amp;referrers=false"/>
    <hyperlink ref="E44" r:id="rId68" display="http://temples.ru/card.php?ID=5292"/>
    <hyperlink ref="B45" r:id="rId69" display="http://localhost:8111/load_object?objects=w87993431&amp;referrers=false"/>
    <hyperlink ref="E45" r:id="rId70" display="http://temples.ru/card.php?ID=5125"/>
    <hyperlink ref="B46" r:id="rId71" display="http://localhost:8111/load_object?objects=w89480196&amp;referrers=false"/>
    <hyperlink ref="E46" r:id="rId72" display="http://temples.ru/card.php?ID=8291"/>
    <hyperlink ref="B47" r:id="rId73" display="http://localhost:8111/load_object?objects=w101310768&amp;referrers=false"/>
    <hyperlink ref="E47" r:id="rId74" display="http://temples.ru/card.php?ID=13213"/>
    <hyperlink ref="B48" r:id="rId75" display="http://localhost:8111/load_object?objects=w110388380&amp;referrers=false"/>
    <hyperlink ref="E48" r:id="rId76" display="http://temples.ru/card.php?ID=4920"/>
    <hyperlink ref="B49" r:id="rId77" display="http://localhost:8111/load_object?objects=w110660379&amp;referrers=false"/>
    <hyperlink ref="E49" r:id="rId78" display="http://temples.ru/card.php?ID=5298"/>
    <hyperlink ref="B50" r:id="rId79" display="http://localhost:8111/load_object?objects=w118842295&amp;referrers=false"/>
    <hyperlink ref="B51" r:id="rId80" display="http://localhost:8111/load_object?objects=w121794867&amp;referrers=false"/>
    <hyperlink ref="E51" r:id="rId81" display="http://temples.ru/card.php?ID=2718"/>
    <hyperlink ref="B52" r:id="rId82" display="http://localhost:8111/load_object?objects=w122362085&amp;referrers=false"/>
    <hyperlink ref="E52" r:id="rId83" display="http://temples.ru/card.php?ID=7953"/>
    <hyperlink ref="B53" r:id="rId84" display="http://localhost:8111/load_object?objects=w123307398&amp;referrers=false"/>
    <hyperlink ref="E53" r:id="rId85" display="http://temples.ru/card.php?ID=2789"/>
    <hyperlink ref="B54" r:id="rId86" display="http://localhost:8111/load_object?objects=w128393961&amp;referrers=false"/>
    <hyperlink ref="E54" r:id="rId87" display="http://temples.ru/card.php?ID=7961"/>
    <hyperlink ref="B55" r:id="rId88" display="http://localhost:8111/load_object?objects=w129197292&amp;referrers=false"/>
    <hyperlink ref="E55" r:id="rId89" display="http://temples.ru/card.php?ID=7924"/>
    <hyperlink ref="B56" r:id="rId90" display="http://localhost:8111/load_object?objects=w139956654&amp;referrers=false"/>
    <hyperlink ref="B57" r:id="rId91" display="http://localhost:8111/load_object?objects=w162380972&amp;referrers=false"/>
    <hyperlink ref="B58" r:id="rId92" display="http://localhost:8111/load_object?objects=w167288787&amp;referrers=false"/>
    <hyperlink ref="E58" r:id="rId93" display="http://temples.ru/card.php?ID=3936"/>
    <hyperlink ref="B59" r:id="rId94" display="http://localhost:8111/load_object?objects=w167288881&amp;referrers=false"/>
    <hyperlink ref="E59" r:id="rId95" display="http://temples.ru/card.php?ID=3935"/>
    <hyperlink ref="B60" r:id="rId96" display="http://localhost:8111/load_object?objects=w167290560&amp;referrers=false"/>
    <hyperlink ref="B61" r:id="rId97" display="http://localhost:8111/load_object?objects=w167482775&amp;referrers=false"/>
    <hyperlink ref="E61" r:id="rId98" display="http://temples.ru/card.php?ID=4641"/>
    <hyperlink ref="B62" r:id="rId99" display="http://localhost:8111/load_object?objects=w168519020&amp;referrers=false"/>
    <hyperlink ref="E62" r:id="rId100" display="http://temples.ru/card.php?ID=7918"/>
    <hyperlink ref="B63" r:id="rId101" display="http://localhost:8111/load_object?objects=w168887225&amp;referrers=false"/>
    <hyperlink ref="B64" r:id="rId102" display="http://localhost:8111/load_object?objects=w168944075&amp;referrers=false"/>
    <hyperlink ref="E64" r:id="rId103" display="http://temples.ru/card.php?ID=1254"/>
    <hyperlink ref="B65" r:id="rId104" display="http://localhost:8111/load_object?objects=w168944810&amp;referrers=false"/>
    <hyperlink ref="B66" r:id="rId105" display="http://localhost:8111/load_object?objects=w168944812&amp;referrers=false"/>
    <hyperlink ref="B67" r:id="rId106" display="http://localhost:8111/load_object?objects=w169028263&amp;referrers=false"/>
    <hyperlink ref="E67" r:id="rId107" display="http://temples.ru/card.php?ID=4363"/>
    <hyperlink ref="B68" r:id="rId108" display="http://localhost:8111/load_object?objects=w169592483&amp;referrers=false"/>
    <hyperlink ref="E68" r:id="rId109" display="http://temples.ru/card.php?ID=1256"/>
    <hyperlink ref="B69" r:id="rId110" display="http://localhost:8111/load_object?objects=w171746574&amp;referrers=false"/>
    <hyperlink ref="E69" r:id="rId111" display="http://temples.ru/card.php?ID=13215"/>
    <hyperlink ref="B70" r:id="rId112" display="http://localhost:8111/load_object?objects=w171750412&amp;referrers=false"/>
    <hyperlink ref="E70" r:id="rId113" display="http://temples.ru/card.php?ID=13230"/>
    <hyperlink ref="B71" r:id="rId114" display="http://localhost:8111/load_object?objects=w172183012&amp;referrers=false"/>
    <hyperlink ref="B72" r:id="rId115" display="http://localhost:8111/load_object?objects=w172230815&amp;referrers=false"/>
    <hyperlink ref="E72" r:id="rId116" display="http://temples.ru/card.php?ID=4968"/>
    <hyperlink ref="B73" r:id="rId117" display="http://localhost:8111/load_object?objects=w173028792&amp;referrers=false"/>
    <hyperlink ref="E73" r:id="rId118" display="http://temples.ru/card.php?ID=22116"/>
    <hyperlink ref="B74" r:id="rId119" display="http://localhost:8111/load_object?objects=w173516101&amp;referrers=false"/>
    <hyperlink ref="E74" r:id="rId120" display="http://temples.ru/card.php?ID=2311"/>
    <hyperlink ref="B75" r:id="rId121" display="http://localhost:8111/load_object?objects=w174696499&amp;referrers=false"/>
    <hyperlink ref="E75" r:id="rId122" display="http://temples.ru/card.php?ID=1263"/>
    <hyperlink ref="B76" r:id="rId123" display="http://localhost:8111/load_object?objects=w174696500&amp;referrers=false"/>
    <hyperlink ref="E76" r:id="rId124" display="http://temples.ru/card.php?ID=1260"/>
    <hyperlink ref="B77" r:id="rId125" display="http://localhost:8111/load_object?objects=w174696501&amp;referrers=false"/>
    <hyperlink ref="E77" r:id="rId126" display="http://temples.ru/card.php?ID=1261"/>
    <hyperlink ref="B78" r:id="rId127" display="http://localhost:8111/load_object?objects=w174696502&amp;referrers=false"/>
    <hyperlink ref="E78" r:id="rId128" display="http://temples.ru/card.php?ID=1266"/>
    <hyperlink ref="B79" r:id="rId129" display="http://localhost:8111/load_object?objects=w174697310&amp;referrers=false"/>
    <hyperlink ref="E79" r:id="rId130" display="http://temples.ru/card.php?ID=1265"/>
    <hyperlink ref="B80" r:id="rId131" display="http://localhost:8111/load_object?objects=w174697600&amp;referrers=false"/>
    <hyperlink ref="E80" r:id="rId132" display="http://temples.ru/card.php?ID=1262"/>
    <hyperlink ref="B81" r:id="rId133" display="http://localhost:8111/load_object?objects=w174700054&amp;referrers=false"/>
    <hyperlink ref="E81" r:id="rId134" display="http://temples.ru/card.php?ID=1255"/>
    <hyperlink ref="B82" r:id="rId135" display="http://localhost:8111/load_object?objects=w176273120&amp;referrers=false"/>
    <hyperlink ref="E82" r:id="rId136" display="http://temples.ru/card.php?ID=1287"/>
    <hyperlink ref="B83" r:id="rId137" display="http://localhost:8111/load_object?objects=w177156668&amp;referrers=false"/>
    <hyperlink ref="B84" r:id="rId138" display="http://localhost:8111/load_object?objects=w179006892&amp;referrers=false"/>
    <hyperlink ref="E84" r:id="rId139" display="http://temples.ru/card.php?ID=5487"/>
    <hyperlink ref="B85" r:id="rId140" display="http://localhost:8111/load_object?objects=w179341741&amp;referrers=false"/>
    <hyperlink ref="E85" r:id="rId141" display="http://temples.ru/card.php?ID=4796"/>
    <hyperlink ref="B86" r:id="rId142" display="http://localhost:8111/load_object?objects=w180839957&amp;referrers=false"/>
    <hyperlink ref="E86" r:id="rId143" display="http://temples.ru/card.php?ID=1333"/>
    <hyperlink ref="B87" r:id="rId144" display="http://localhost:8111/load_object?objects=w180840007&amp;referrers=false"/>
    <hyperlink ref="E87" r:id="rId145" display="http://temples.ru/card.php?ID=1360"/>
    <hyperlink ref="B88" r:id="rId146" display="http://localhost:8111/load_object?objects=w181205357&amp;referrers=false"/>
    <hyperlink ref="E88" r:id="rId147" display="http://temples.ru/card.php?ID=10491"/>
    <hyperlink ref="B89" r:id="rId148" display="http://localhost:8111/load_object?objects=w181419572&amp;referrers=false"/>
    <hyperlink ref="E89" r:id="rId149" display="http://temples.ru/card.php?ID=4640"/>
    <hyperlink ref="B90" r:id="rId150" display="http://localhost:8111/load_object?objects=w181675547&amp;referrers=false"/>
    <hyperlink ref="E90" r:id="rId151" display="http://temples.ru/card.php?ID=1334"/>
    <hyperlink ref="B91" r:id="rId152" display="http://localhost:8111/load_object?objects=w182809170&amp;referrers=false"/>
    <hyperlink ref="E91" r:id="rId153" display="http://temples.ru/card.php?ID=1310"/>
    <hyperlink ref="B92" r:id="rId154" display="http://localhost:8111/load_object?objects=w187377957&amp;referrers=false"/>
    <hyperlink ref="E92" r:id="rId155" display="http://temples.ru/card.php?ID=4873"/>
    <hyperlink ref="B93" r:id="rId156" display="http://localhost:8111/load_object?objects=w188188546&amp;referrers=false"/>
    <hyperlink ref="E93" r:id="rId157" display="http://temples.ru/card.php?ID=4864"/>
    <hyperlink ref="B94" r:id="rId158" display="http://localhost:8111/load_object?objects=w193003450&amp;referrers=false"/>
    <hyperlink ref="E94" r:id="rId159" display="http://temples.ru/card.php?ID=7954"/>
    <hyperlink ref="B95" r:id="rId160" display="http://localhost:8111/load_object?objects=w193468132&amp;referrers=false"/>
    <hyperlink ref="E95" r:id="rId161" display="http://temples.ru/card.php?ID=1357"/>
    <hyperlink ref="B96" r:id="rId162" display="http://localhost:8111/load_object?objects=w202905760&amp;referrers=false"/>
    <hyperlink ref="B97" r:id="rId163" display="http://localhost:8111/load_object?objects=w203189719&amp;referrers=false"/>
    <hyperlink ref="E97" r:id="rId164" display="http://temples.ru/card.php?ID=1278"/>
    <hyperlink ref="B98" r:id="rId165" display="http://localhost:8111/load_object?objects=w206132345&amp;referrers=false"/>
    <hyperlink ref="E98" r:id="rId166" display="http://temples.ru/card.php?ID=17611"/>
    <hyperlink ref="B99" r:id="rId167" display="http://localhost:8111/load_object?objects=w206132346&amp;referrers=false"/>
    <hyperlink ref="E99" r:id="rId168" display="http://temples.ru/card.php?ID=7927"/>
    <hyperlink ref="B100" r:id="rId169" display="http://localhost:8111/load_object?objects=w206132347&amp;referrers=false"/>
    <hyperlink ref="E100" r:id="rId170" display="http://temples.ru/card.php?ID=7930"/>
    <hyperlink ref="B101" r:id="rId171" display="http://localhost:8111/load_object?objects=w206151674&amp;referrers=false"/>
    <hyperlink ref="E101" r:id="rId172" display="http://temples.ru/card.php?ID=2726"/>
    <hyperlink ref="B102" r:id="rId173" display="http://localhost:8111/load_object?objects=w206151680&amp;referrers=false"/>
    <hyperlink ref="E102" r:id="rId174" display="http://temples.ru/card.php?ID=2769"/>
    <hyperlink ref="B103" r:id="rId175" display="http://localhost:8111/load_object?objects=w206151689&amp;referrers=false"/>
    <hyperlink ref="E103" r:id="rId176" display="http://temples.ru/card.php?ID=2727"/>
    <hyperlink ref="B104" r:id="rId177" display="http://localhost:8111/load_object?objects=w206288038&amp;referrers=false"/>
    <hyperlink ref="E104" r:id="rId178" display="http://temples.ru/card.php?ID=4952"/>
    <hyperlink ref="B105" r:id="rId179" display="http://localhost:8111/load_object?objects=w207841293&amp;referrers=false"/>
    <hyperlink ref="E105" r:id="rId180" display="http://temples.ru/card.php?ID=17615"/>
    <hyperlink ref="B106" r:id="rId181" display="http://localhost:8111/load_object?objects=w213860413&amp;referrers=false"/>
    <hyperlink ref="E106" r:id="rId182" display="http://temples.ru/card.php?ID=4963"/>
    <hyperlink ref="B107" r:id="rId183" display="http://localhost:8111/load_object?objects=w213865123&amp;referrers=false"/>
    <hyperlink ref="B108" r:id="rId184" display="http://localhost:8111/load_object?objects=w215184795&amp;referrers=false"/>
    <hyperlink ref="E108" r:id="rId185" display="http://temples.ru/card.php?ID=5285"/>
    <hyperlink ref="B109" r:id="rId186" display="http://localhost:8111/load_object?objects=w215302044&amp;referrers=false"/>
    <hyperlink ref="B110" r:id="rId187" display="http://localhost:8111/load_object?objects=w215646382&amp;referrers=false"/>
    <hyperlink ref="E110" r:id="rId188" display="http://temples.ru/card.php?ID=12162"/>
    <hyperlink ref="B111" r:id="rId189" display="http://localhost:8111/load_object?objects=w218401394&amp;referrers=false"/>
    <hyperlink ref="E111" r:id="rId190" display="http://temples.ru/card.php?ID=1323"/>
    <hyperlink ref="B112" r:id="rId191" display="http://localhost:8111/load_object?objects=w218401396&amp;referrers=false"/>
    <hyperlink ref="E112" r:id="rId192" display="http://temples.ru/card.php?ID=1324"/>
    <hyperlink ref="B113" r:id="rId193" display="http://localhost:8111/load_object?objects=w222565232&amp;referrers=false"/>
    <hyperlink ref="E113" r:id="rId194" display="http://temples.ru/card.php?ID=11054"/>
    <hyperlink ref="B114" r:id="rId195" display="http://localhost:8111/load_object?objects=w223222090&amp;referrers=false"/>
    <hyperlink ref="B115" r:id="rId196" display="http://localhost:8111/load_object?objects=w224055349&amp;referrers=false"/>
    <hyperlink ref="E115" r:id="rId197" display="http://temples.ru/card.php?ID=10497"/>
    <hyperlink ref="B116" r:id="rId198" display="http://localhost:8111/load_object?objects=w231493212&amp;referrers=false"/>
    <hyperlink ref="E116" r:id="rId199" display="http://temples.ru/card.php?ID=9078"/>
    <hyperlink ref="B117" r:id="rId200" display="http://localhost:8111/load_object?objects=w231602411&amp;referrers=false"/>
    <hyperlink ref="E117" r:id="rId201" display="http://temples.ru/card.php?ID=6778"/>
    <hyperlink ref="B118" r:id="rId202" display="http://localhost:8111/load_object?objects=w236152997&amp;referrers=false"/>
    <hyperlink ref="E118" r:id="rId203" display="http://temples.ru/card.php?ID=13221"/>
    <hyperlink ref="B119" r:id="rId204" display="http://localhost:8111/load_object?objects=w237308152&amp;referrers=false"/>
    <hyperlink ref="B120" r:id="rId205" display="http://localhost:8111/load_object?objects=w238909939&amp;referrers=false"/>
    <hyperlink ref="E120" r:id="rId206" display="http://temples.ru/card.php?ID=11304"/>
    <hyperlink ref="B121" r:id="rId207" display="http://localhost:8111/load_object?objects=w238945322&amp;referrers=false"/>
    <hyperlink ref="E121" r:id="rId208" display="http://temples.ru/card.php?ID=4642"/>
    <hyperlink ref="B122" r:id="rId209" display="http://localhost:8111/load_object?objects=w246056432&amp;referrers=false"/>
    <hyperlink ref="E122" r:id="rId210" display="http://temples.ru/card.php?ID=4896"/>
    <hyperlink ref="B123" r:id="rId211" display="http://localhost:8111/load_object?objects=w248167445&amp;referrers=false"/>
    <hyperlink ref="B124" r:id="rId212" display="http://localhost:8111/load_object?objects=w252051070&amp;referrers=false"/>
    <hyperlink ref="E124" r:id="rId213" display="http://temples.ru/card.php?ID=13225"/>
    <hyperlink ref="B125" r:id="rId214" display="http://localhost:8111/load_object?objects=w255947708&amp;referrers=false"/>
    <hyperlink ref="E125" r:id="rId215" display="http://temples.ru/card.php?ID=4954"/>
    <hyperlink ref="B126" r:id="rId216" display="http://localhost:8111/load_object?objects=w256100772&amp;referrers=false"/>
    <hyperlink ref="E126" r:id="rId217" display="http://temples.ru/card.php?ID=5429"/>
    <hyperlink ref="B127" r:id="rId218" display="http://localhost:8111/load_object?objects=w260266920&amp;referrers=false"/>
    <hyperlink ref="E127" r:id="rId219" display="http://temples.ru/card.php?ID=4911"/>
    <hyperlink ref="B128" r:id="rId220" display="http://localhost:8111/load_object?objects=w260713943&amp;referrers=false"/>
    <hyperlink ref="E128" r:id="rId221" display="http://temples.ru/card.php?ID=11072"/>
    <hyperlink ref="B129" r:id="rId222" display="http://localhost:8111/load_object?objects=w261706519&amp;referrers=false"/>
    <hyperlink ref="E129" r:id="rId223" display="http://temples.ru/card.php?ID=4990"/>
    <hyperlink ref="B130" r:id="rId224" display="http://localhost:8111/load_object?objects=w267908304&amp;referrers=false"/>
    <hyperlink ref="B131" r:id="rId225" display="http://localhost:8111/load_object?objects=w270300861&amp;referrers=false"/>
    <hyperlink ref="E131" r:id="rId226" display="http://temples.ru/card.php?ID=17629"/>
    <hyperlink ref="B132" r:id="rId227" display="http://localhost:8111/load_object?objects=w274667401&amp;referrers=false"/>
    <hyperlink ref="E132" r:id="rId228" display="http://temples.ru/card.php?ID=4993"/>
    <hyperlink ref="B133" r:id="rId229" display="http://localhost:8111/load_object?objects=w274789572&amp;referrers=false"/>
    <hyperlink ref="E133" r:id="rId230" display="http://temples.ru/card.php?ID=2289"/>
    <hyperlink ref="B134" r:id="rId231" display="http://localhost:8111/load_object?objects=w277544964&amp;referrers=false"/>
    <hyperlink ref="E134" r:id="rId232" display="http://temples.ru/card.php?ID=4831"/>
    <hyperlink ref="B135" r:id="rId233" display="http://localhost:8111/load_object?objects=w277544965&amp;referrers=false"/>
    <hyperlink ref="E135" r:id="rId234" display="http://temples.ru/card.php?ID=4830"/>
    <hyperlink ref="B136" r:id="rId235" display="http://localhost:8111/load_object?objects=w277544966&amp;referrers=false"/>
    <hyperlink ref="E136" r:id="rId236" display="http://temples.ru/card.php?ID=4838"/>
    <hyperlink ref="B137" r:id="rId237" display="http://localhost:8111/load_object?objects=w280790880&amp;referrers=false"/>
    <hyperlink ref="E137" r:id="rId238" display="http://temples.ru/card.php?ID=9365"/>
    <hyperlink ref="B138" r:id="rId239" display="http://localhost:8111/load_object?objects=w281521668&amp;referrers=false"/>
    <hyperlink ref="E138" r:id="rId240" display="http://temples.ru/card.php?ID=1264"/>
    <hyperlink ref="B139" r:id="rId241" display="http://localhost:8111/load_object?objects=w282199866&amp;referrers=false"/>
    <hyperlink ref="E139" r:id="rId242" display="http://temples.ru/card.php?ID=4935"/>
    <hyperlink ref="B140" r:id="rId243" display="http://localhost:8111/load_object?objects=w282205967&amp;referrers=false"/>
    <hyperlink ref="E140" r:id="rId244" display="http://temples.ru/card.php?ID=4964"/>
    <hyperlink ref="B141" r:id="rId245" display="http://localhost:8111/load_object?objects=w294497784&amp;referrers=false"/>
    <hyperlink ref="E141" r:id="rId246" display="http://temples.ru/card.php?ID=1253"/>
    <hyperlink ref="B142" r:id="rId247" display="http://localhost:8111/load_object?objects=w294499503&amp;referrers=false"/>
    <hyperlink ref="E142" r:id="rId248" display="http://temples.ru/card.php?ID=1291"/>
    <hyperlink ref="B143" r:id="rId249" display="http://localhost:8111/load_object?objects=w294500219&amp;referrers=false"/>
    <hyperlink ref="E143" r:id="rId250" display="http://temples.ru/card.php?ID=1350"/>
    <hyperlink ref="B144" r:id="rId251" display="http://localhost:8111/load_object?objects=w294513633&amp;referrers=false"/>
    <hyperlink ref="E144" r:id="rId252" display="http://temples.ru/card.php?ID=10494"/>
    <hyperlink ref="B145" r:id="rId253" display="http://localhost:8111/load_object?objects=w294519938&amp;referrers=false"/>
    <hyperlink ref="E145" r:id="rId254" display="http://temples.ru/card.php?ID=1273"/>
    <hyperlink ref="B146" r:id="rId255" display="http://localhost:8111/load_object?objects=w294519939&amp;referrers=false"/>
    <hyperlink ref="E146" r:id="rId256" display="http://temples.ru/card.php?ID=1275"/>
    <hyperlink ref="B147" r:id="rId257" display="http://localhost:8111/load_object?objects=w294519940&amp;referrers=false"/>
    <hyperlink ref="E147" r:id="rId258" display="http://temples.ru/card.php?ID=1274"/>
    <hyperlink ref="B148" r:id="rId259" display="http://localhost:8111/load_object?objects=w294520072&amp;referrers=false"/>
    <hyperlink ref="E148" r:id="rId260" display="http://temples.ru/card.php?ID=1308"/>
    <hyperlink ref="B149" r:id="rId261" display="http://localhost:8111/load_object?objects=w294521817&amp;referrers=false"/>
    <hyperlink ref="E149" r:id="rId262" display="http://temples.ru/card.php?ID=1292"/>
    <hyperlink ref="B150" r:id="rId263" display="http://localhost:8111/load_object?objects=w294542682&amp;referrers=false"/>
    <hyperlink ref="E150" r:id="rId264" display="http://temples.ru/card.php?ID=9079"/>
    <hyperlink ref="B151" r:id="rId265" display="http://localhost:8111/load_object?objects=w294565422&amp;referrers=false"/>
    <hyperlink ref="E151" r:id="rId266" display="http://temples.ru/card.php?ID=1337"/>
    <hyperlink ref="B152" r:id="rId267" display="http://localhost:8111/load_object?objects=w294637887&amp;referrers=false"/>
    <hyperlink ref="E152" r:id="rId268" display="http://temples.ru/card.php?ID=1285"/>
    <hyperlink ref="B153" r:id="rId269" display="http://localhost:8111/load_object?objects=w294711941&amp;referrers=false"/>
    <hyperlink ref="E153" r:id="rId270" display="http://temples.ru/card.php?ID=23868"/>
    <hyperlink ref="B154" r:id="rId271" display="http://localhost:8111/load_object?objects=w294711942&amp;referrers=false"/>
    <hyperlink ref="E154" r:id="rId272" display="http://temples.ru/card.php?ID=4919"/>
    <hyperlink ref="B155" r:id="rId273" display="http://localhost:8111/load_object?objects=w294711943&amp;referrers=false"/>
    <hyperlink ref="B156" r:id="rId274" display="http://localhost:8111/load_object?objects=w312333731&amp;referrers=false"/>
    <hyperlink ref="E156" r:id="rId275" display="http://temples.ru/card.php?ID=4942"/>
    <hyperlink ref="B157" r:id="rId276" display="http://localhost:8111/load_object?objects=w312969574&amp;referrers=false"/>
    <hyperlink ref="E157" r:id="rId277" display="http://temples.ru/card.php?ID=11294"/>
    <hyperlink ref="B158" r:id="rId278" display="http://localhost:8111/load_object?objects=w312983816&amp;referrers=false"/>
    <hyperlink ref="E158" r:id="rId279" display="http://temples.ru/card.php?ID=7936"/>
    <hyperlink ref="B159" r:id="rId280" display="http://localhost:8111/load_object?objects=w313103431&amp;referrers=false"/>
    <hyperlink ref="E159" r:id="rId281" display="http://temples.ru/card.php?ID=7921"/>
    <hyperlink ref="B160" r:id="rId282" display="http://localhost:8111/load_object?objects=w314257891&amp;referrers=false"/>
    <hyperlink ref="B161" r:id="rId283" display="http://localhost:8111/load_object?objects=w322625136&amp;referrers=false"/>
    <hyperlink ref="B162" r:id="rId284" display="http://localhost:8111/load_object?objects=w325803814&amp;referrers=false"/>
    <hyperlink ref="E162" r:id="rId285" display="http://temples.ru/card.php?ID=4982"/>
    <hyperlink ref="B163" r:id="rId286" display="http://localhost:8111/load_object?objects=w325810380&amp;referrers=false"/>
    <hyperlink ref="E163" r:id="rId287" display="http://temples.ru/card.php?ID=4927"/>
    <hyperlink ref="B164" r:id="rId288" display="http://localhost:8111/load_object?objects=w325810383&amp;referrers=false"/>
    <hyperlink ref="E164" r:id="rId289" display="http://temples.ru/card.php?ID=4934"/>
    <hyperlink ref="B165" r:id="rId290" display="http://localhost:8111/load_object?objects=w325810384&amp;referrers=false"/>
    <hyperlink ref="E165" r:id="rId291" display="http://temples.ru/card.php?ID=4913"/>
    <hyperlink ref="B166" r:id="rId292" display="http://localhost:8111/load_object?objects=w325810385&amp;referrers=false"/>
    <hyperlink ref="E166" r:id="rId293" display="http://temples.ru/card.php?ID=4986"/>
    <hyperlink ref="B167" r:id="rId294" display="http://localhost:8111/load_object?objects=w326305136&amp;referrers=false"/>
    <hyperlink ref="E167" r:id="rId295" display="http://temples.ru/card.php?ID=4995"/>
    <hyperlink ref="B168" r:id="rId296" display="http://localhost:8111/load_object?objects=w327327818&amp;referrers=false"/>
    <hyperlink ref="E168" r:id="rId297" display="http://temples.ru/card.php?ID=8655"/>
    <hyperlink ref="B169" r:id="rId298" display="http://localhost:8111/load_object?objects=w327339337&amp;referrers=false"/>
    <hyperlink ref="E169" r:id="rId299" display="http://temples.ru/card.php?ID=1280"/>
    <hyperlink ref="B170" r:id="rId300" display="http://localhost:8111/load_object?objects=w327339338&amp;referrers=false"/>
    <hyperlink ref="E170" r:id="rId301" display="http://temples.ru/card.php?ID=1325"/>
    <hyperlink ref="B171" r:id="rId302" display="http://localhost:8111/load_object?objects=w327339342&amp;referrers=false"/>
    <hyperlink ref="E171" r:id="rId303" display="http://temples.ru/card.php?ID=1361"/>
    <hyperlink ref="B172" r:id="rId304" display="http://localhost:8111/load_object?objects=w327339343&amp;referrers=false"/>
    <hyperlink ref="E172" r:id="rId305" display="http://temples.ru/card.php?ID=1330"/>
    <hyperlink ref="B173" r:id="rId306" display="http://localhost:8111/load_object?objects=w327339344&amp;referrers=false"/>
    <hyperlink ref="E173" r:id="rId307" display="http://temples.ru/card.php?ID=1329"/>
    <hyperlink ref="B174" r:id="rId308" display="http://localhost:8111/load_object?objects=w327339345&amp;referrers=false"/>
    <hyperlink ref="E174" r:id="rId309" display="http://temples.ru/card.php?ID=1332"/>
    <hyperlink ref="B175" r:id="rId310" display="http://localhost:8111/load_object?objects=w327877621&amp;referrers=false"/>
    <hyperlink ref="E175" r:id="rId311" display="http://temples.ru/card.php?ID=8471"/>
    <hyperlink ref="B176" r:id="rId312" display="http://localhost:8111/load_object?objects=w327877622&amp;referrers=false"/>
    <hyperlink ref="E176" r:id="rId313" display="http://temples.ru/card.php?ID=8474"/>
    <hyperlink ref="B177" r:id="rId314" display="http://localhost:8111/load_object?objects=w327877623&amp;referrers=false"/>
    <hyperlink ref="E177" r:id="rId315" display="http://temples.ru/card.php?ID=8472"/>
    <hyperlink ref="B178" r:id="rId316" display="http://localhost:8111/load_object?objects=w327877624&amp;referrers=false"/>
    <hyperlink ref="E178" r:id="rId317" display="http://temples.ru/card.php?ID=8475"/>
    <hyperlink ref="B179" r:id="rId318" display="http://localhost:8111/load_object?objects=w330263817&amp;referrers=false"/>
    <hyperlink ref="E179" r:id="rId319" display="http://temples.ru/card.php?ID=8405"/>
    <hyperlink ref="B180" r:id="rId320" display="http://localhost:8111/load_object?objects=w338799390&amp;referrers=false"/>
    <hyperlink ref="B181" r:id="rId321" display="http://localhost:8111/load_object?objects=w340734385&amp;referrers=false"/>
    <hyperlink ref="E181" r:id="rId322" display="http://temples.ru/card.php?ID=4853"/>
    <hyperlink ref="B182" r:id="rId323" display="http://localhost:8111/load_object?objects=w353756754&amp;referrers=false"/>
    <hyperlink ref="E182" r:id="rId324" display="http://temples.ru/card.php?ID=4903"/>
    <hyperlink ref="B183" r:id="rId325" display="http://localhost:8111/load_object?objects=w354193583&amp;referrers=false"/>
    <hyperlink ref="E183" r:id="rId326" display="http://temples.ru/card.php?ID=4881"/>
    <hyperlink ref="B184" r:id="rId327" display="http://localhost:8111/load_object?objects=w355256139&amp;referrers=false"/>
    <hyperlink ref="E184" r:id="rId328" display="http://temples.ru/card.php?ID=4997"/>
    <hyperlink ref="B185" r:id="rId329" display="http://localhost:8111/load_object?objects=w363733997&amp;referrers=false"/>
    <hyperlink ref="B186" r:id="rId330" display="http://localhost:8111/load_object?objects=w367109241&amp;referrers=false"/>
    <hyperlink ref="E186" r:id="rId331" display="http://temples.ru/card.php?ID=4970"/>
    <hyperlink ref="B187" r:id="rId332" display="http://localhost:8111/load_object?objects=w367168144&amp;referrers=false"/>
    <hyperlink ref="E187" r:id="rId333" display="http://temples.ru/card.php?ID=9366"/>
    <hyperlink ref="B188" r:id="rId334" display="http://localhost:8111/load_object?objects=w367350229&amp;referrers=false"/>
    <hyperlink ref="E188" r:id="rId335" display="http://temples.ru/card.php?ID=4841"/>
    <hyperlink ref="B189" r:id="rId336" display="http://localhost:8111/load_object?objects=w367350230&amp;referrers=false"/>
    <hyperlink ref="E189" r:id="rId337" display="http://temples.ru/card.php?ID=5001"/>
    <hyperlink ref="B190" r:id="rId338" display="http://localhost:8111/load_object?objects=w367350232&amp;referrers=false"/>
    <hyperlink ref="E190" r:id="rId339" display="http://temples.ru/card.php?ID=4945"/>
    <hyperlink ref="B191" r:id="rId340" display="http://localhost:8111/load_object?objects=w367350234&amp;referrers=false"/>
    <hyperlink ref="E191" r:id="rId341" display="http://temples.ru/card.php?ID=4859"/>
    <hyperlink ref="B192" r:id="rId342" display="http://localhost:8111/load_object?objects=w367350237&amp;referrers=false"/>
    <hyperlink ref="E192" r:id="rId343" display="http://temples.ru/card.php?ID=4861"/>
    <hyperlink ref="B193" r:id="rId344" display="http://localhost:8111/load_object?objects=w367350239&amp;referrers=false"/>
    <hyperlink ref="E193" r:id="rId345" display="http://temples.ru/card.php?ID=4860"/>
    <hyperlink ref="B194" r:id="rId346" display="http://localhost:8111/load_object?objects=w367350240&amp;referrers=false"/>
    <hyperlink ref="E194" r:id="rId347" display="http://temples.ru/card.php?ID=4905"/>
    <hyperlink ref="B195" r:id="rId348" display="http://localhost:8111/load_object?objects=w367350241&amp;referrers=false"/>
    <hyperlink ref="E195" r:id="rId349" display="http://temples.ru/card.php?ID=4871"/>
    <hyperlink ref="B196" r:id="rId350" display="http://localhost:8111/load_object?objects=w367350244&amp;referrers=false"/>
    <hyperlink ref="E196" r:id="rId351" display="http://temples.ru/card.php?ID=4840"/>
    <hyperlink ref="B197" r:id="rId352" display="http://localhost:8111/load_object?objects=w367350248&amp;referrers=false"/>
    <hyperlink ref="E197" r:id="rId353" display="http://temples.ru/card.php?ID=4120"/>
    <hyperlink ref="B198" r:id="rId354" display="http://localhost:8111/load_object?objects=w367874174&amp;referrers=false"/>
    <hyperlink ref="E198" r:id="rId355" display="http://temples.ru/card.php?ID=4930"/>
    <hyperlink ref="B199" r:id="rId356" display="http://localhost:8111/load_object?objects=w370065111&amp;referrers=false"/>
    <hyperlink ref="E199" r:id="rId357" display="http://temples.ru/card.php?ID=4655"/>
    <hyperlink ref="B200" r:id="rId358" display="http://localhost:8111/load_object?objects=w370075933&amp;referrers=false"/>
    <hyperlink ref="E200" r:id="rId359" display="http://temples.ru/card.php?ID=4979"/>
    <hyperlink ref="B201" r:id="rId360" display="http://localhost:8111/load_object?objects=w371132835&amp;referrers=false"/>
    <hyperlink ref="E201" r:id="rId361" display="http://temples.ru/card.php?ID=11053"/>
    <hyperlink ref="B202" r:id="rId362" display="http://localhost:8111/load_object?objects=w372209437&amp;referrers=false"/>
    <hyperlink ref="E202" r:id="rId363" display="http://temples.ru/card.php?ID=4962"/>
    <hyperlink ref="B203" r:id="rId364" display="http://localhost:8111/load_object?objects=w373059963&amp;referrers=false"/>
    <hyperlink ref="E203" r:id="rId365" display="http://temples.ru/card.php?ID=11161"/>
    <hyperlink ref="B204" r:id="rId366" display="http://localhost:8111/load_object?objects=w375720029&amp;referrers=false"/>
    <hyperlink ref="E204" r:id="rId367" display="http://temples.ru/card.php?ID=9186"/>
    <hyperlink ref="B205" r:id="rId368" display="http://localhost:8111/load_object?objects=w395444669&amp;referrers=false"/>
    <hyperlink ref="E205" r:id="rId369" display="http://temples.ru/card.php?ID=5012"/>
    <hyperlink ref="B206" r:id="rId370" display="http://localhost:8111/load_object?objects=w403330347&amp;referrers=false"/>
    <hyperlink ref="E206" r:id="rId371" display="http://temples.ru/card.php?ID=5017"/>
    <hyperlink ref="B207" r:id="rId372" display="http://localhost:8111/load_object?objects=w403337970&amp;referrers=false"/>
    <hyperlink ref="E207" r:id="rId373" display="http://temples.ru/card.php?ID=4926"/>
    <hyperlink ref="B208" r:id="rId374" display="http://localhost:8111/load_object?objects=w414931432&amp;referrers=false"/>
    <hyperlink ref="B209" r:id="rId375" display="http://localhost:8111/load_object?objects=w414936453&amp;referrers=false"/>
    <hyperlink ref="B210" r:id="rId376" display="http://localhost:8111/load_object?objects=w414937349&amp;referrers=false"/>
    <hyperlink ref="B211" r:id="rId377" display="http://localhost:8111/load_object?objects=w422888864&amp;referrers=false"/>
    <hyperlink ref="B212" r:id="rId378" display="http://localhost:8111/load_object?objects=w425095583&amp;referrers=false"/>
    <hyperlink ref="E212" r:id="rId379" display="http://temples.ru/card.php?ID=1316"/>
    <hyperlink ref="B213" r:id="rId380" display="http://localhost:8111/load_object?objects=w429804329&amp;referrers=false"/>
    <hyperlink ref="B214" r:id="rId381" display="http://localhost:8111/load_object?objects=w431705846&amp;referrers=false"/>
    <hyperlink ref="E214" r:id="rId382" display="http://temples.ru/card.php?ID=4958"/>
    <hyperlink ref="B215" r:id="rId383" display="http://localhost:8111/load_object?objects=w431852061&amp;referrers=false"/>
    <hyperlink ref="E215" r:id="rId384" display="http://temples.ru/card.php?ID=4852"/>
    <hyperlink ref="B216" r:id="rId385" display="http://localhost:8111/load_object?objects=w432982049&amp;referrers=false"/>
    <hyperlink ref="E216" r:id="rId386" display="http://temples.ru/card.php?ID=9472"/>
    <hyperlink ref="B217" r:id="rId387" display="http://localhost:8111/load_object?objects=w433006511&amp;referrers=false"/>
    <hyperlink ref="B218" r:id="rId388" display="http://localhost:8111/load_object?objects=w433007634&amp;referrers=false"/>
    <hyperlink ref="B219" r:id="rId389" display="http://localhost:8111/load_object?objects=w439879552&amp;referrers=false"/>
    <hyperlink ref="E219" r:id="rId390" display="http://temples.ru/card.php?ID=4874"/>
    <hyperlink ref="B220" r:id="rId391" display="http://localhost:8111/load_object?objects=w447098306&amp;referrers=false"/>
    <hyperlink ref="E220" r:id="rId392" display="http://temples.ru/card.php?ID=5010"/>
    <hyperlink ref="B221" r:id="rId393" display="http://localhost:8111/load_object?objects=w453538438&amp;referrers=false"/>
    <hyperlink ref="B222" r:id="rId394" display="http://localhost:8111/load_object?objects=w497266713&amp;referrers=false"/>
    <hyperlink ref="E222" r:id="rId395" display="http://temples.ru/card.php?ID=1281"/>
    <hyperlink ref="B223" r:id="rId396" display="http://localhost:8111/load_object?objects=w521162819&amp;referrers=false"/>
    <hyperlink ref="E223" r:id="rId397" display="http://temples.ru/card.php?ID=4961"/>
    <hyperlink ref="B224" r:id="rId398" display="http://localhost:8111/load_object?objects=w526938291&amp;referrers=false"/>
    <hyperlink ref="E224" r:id="rId399" display="http://temples.ru/card.php?ID=4654"/>
    <hyperlink ref="B225" r:id="rId400" display="http://localhost:8111/load_object?objects=w526938298&amp;referrers=false"/>
    <hyperlink ref="E225" r:id="rId401" display="http://temples.ru/card.php?ID=4653"/>
    <hyperlink ref="B226" r:id="rId402" display="http://localhost:8111/load_object?objects=w533945305&amp;referrers=false"/>
    <hyperlink ref="E226" r:id="rId403" display="http://temples.ru/card.php?ID=7103"/>
    <hyperlink ref="B227" r:id="rId404" display="http://localhost:8111/load_object?objects=w533945521&amp;referrers=false"/>
    <hyperlink ref="B228" r:id="rId405" display="http://localhost:8111/load_object?objects=w551734630&amp;referrers=false"/>
    <hyperlink ref="B229" r:id="rId406" display="http://localhost:8111/load_object?objects=w551871953&amp;referrers=false"/>
    <hyperlink ref="B230" r:id="rId407" display="http://localhost:8111/load_object?objects=w554681103&amp;referrers=false"/>
    <hyperlink ref="B231" r:id="rId408" display="http://localhost:8111/load_object?objects=w555198500&amp;referrers=false"/>
    <hyperlink ref="E231" r:id="rId409" display="http://temples.ru/card.php?ID=4855"/>
    <hyperlink ref="B232" r:id="rId410" display="http://localhost:8111/load_object?objects=w560953140&amp;referrers=false"/>
    <hyperlink ref="B233" r:id="rId411" display="http://localhost:8111/load_object?objects=w561350494&amp;referrers=false"/>
    <hyperlink ref="E233" r:id="rId412" display="http://temples.ru/card.php?ID=11051"/>
    <hyperlink ref="B234" r:id="rId413" display="http://localhost:8111/load_object?objects=w561632132&amp;referrers=false"/>
    <hyperlink ref="E234" r:id="rId414" display="http://temples.ru/card.php?ID=5431"/>
    <hyperlink ref="B235" r:id="rId415" display="http://localhost:8111/load_object?objects=w562956561&amp;referrers=false"/>
    <hyperlink ref="E235" r:id="rId416" display="http://temples.ru/card.php?ID=4942"/>
    <hyperlink ref="B236" r:id="rId417" display="http://localhost:8111/load_object?objects=w566870728&amp;referrers=false"/>
    <hyperlink ref="E236" r:id="rId418" display="http://temples.ru/card.php?ID=5007"/>
    <hyperlink ref="B237" r:id="rId419" display="http://localhost:8111/load_object?objects=w571277625&amp;referrers=false"/>
    <hyperlink ref="E237" r:id="rId420" display="http://temples.ru/card.php?ID=4924"/>
    <hyperlink ref="B238" r:id="rId421" display="http://localhost:8111/load_object?objects=w586059532&amp;referrers=false"/>
    <hyperlink ref="B239" r:id="rId422" display="http://localhost:8111/load_object?objects=w620682774&amp;referrers=false"/>
    <hyperlink ref="B240" r:id="rId423" display="http://localhost:8111/load_object?objects=w621316415&amp;referrers=false"/>
    <hyperlink ref="B241" r:id="rId424" display="http://localhost:8111/load_object?objects=w622905450&amp;referrers=false"/>
    <hyperlink ref="B242" r:id="rId425" display="http://localhost:8111/load_object?objects=r2772026&amp;referrers=false"/>
    <hyperlink ref="E242" r:id="rId426" display="http://temples.ru/card.php?ID=4951"/>
    <hyperlink ref="B243" r:id="rId427" display="http://localhost:8111/load_object?objects=r2880779&amp;referrers=false"/>
    <hyperlink ref="E243" r:id="rId428" display="http://temples.ru/card.php?ID=14416"/>
    <hyperlink ref="B244" r:id="rId429" display="http://localhost:8111/load_object?objects=r3554902&amp;referrers=false"/>
    <hyperlink ref="E244" r:id="rId430" display="http://temples.ru/card.php?ID=4890"/>
    <hyperlink ref="B245" r:id="rId431" display="http://localhost:8111/load_object?objects=r4436425&amp;referrers=false"/>
    <hyperlink ref="E245" r:id="rId432" display="http://temples.ru/card.php?ID=1341"/>
    <hyperlink ref="B246" r:id="rId433" display="http://localhost:8111/load_object?objects=r6637079&amp;referrers=false"/>
    <hyperlink ref="E246" r:id="rId434" display="http://temples.ru/card.php?ID=4827"/>
    <hyperlink ref="B247" r:id="rId435" display="http://localhost:8111/load_object?objects=r6642589&amp;referrers=false"/>
    <hyperlink ref="E247" r:id="rId436" display="http://temples.ru/card.php?ID=4829"/>
    <hyperlink ref="B248" r:id="rId437" display="http://localhost:8111/load_object?objects=r6648137&amp;referrers=false"/>
    <hyperlink ref="E248" r:id="rId438" display="http://temples.ru/card.php?ID=4867"/>
    <hyperlink ref="B249" r:id="rId439" display="http://localhost:8111/load_object?objects=r6648138&amp;referrers=false"/>
    <hyperlink ref="E249" r:id="rId440" display="http://temples.ru/card.php?ID=4866"/>
    <hyperlink ref="B250" r:id="rId441" display="http://localhost:8111/load_object?objects=r6650308&amp;referrers=false"/>
    <hyperlink ref="B251" r:id="rId442" display="http://localhost:8111/load_object?objects=r7926015&amp;referrers=false"/>
    <hyperlink ref="E251" r:id="rId443" display="http://temples.ru/card.php?ID=4828"/>
    <hyperlink ref="B252" r:id="rId444" display="http://localhost:8111/load_object?objects=r7932909&amp;referrers=false"/>
    <hyperlink ref="E252" r:id="rId445" display="http://temples.ru/card.php?ID=4858"/>
    <hyperlink ref="B253" r:id="rId446" display="http://localhost:8111/load_object?objects=r7944700&amp;referrers=false"/>
    <hyperlink ref="E253" r:id="rId447" display="http://temples.ru/card.php?ID=4854"/>
    <hyperlink ref="B254" r:id="rId448" display="http://localhost:8111/load_object?objects=r7948571&amp;referrers=false"/>
    <hyperlink ref="E254" r:id="rId449" display="http://temples.ru/card.php?ID=4849"/>
    <hyperlink ref="B255" r:id="rId450" display="http://localhost:8111/load_object?objects=r7974036&amp;referrers=false"/>
    <hyperlink ref="E255" r:id="rId451" display="http://temples.ru/card.php?ID=3438"/>
    <hyperlink ref="B256" r:id="rId452" display="http://localhost:8111/load_object?objects=r8635484&amp;referrers=false"/>
    <hyperlink ref="E256" r:id="rId453" display="http://temples.ru/card.php?ID=4826"/>
    <hyperlink ref="B257" r:id="rId454" display="http://localhost:8111/load_object?objects=r8635531&amp;referrers=false"/>
    <hyperlink ref="B258" r:id="rId455" display="http://localhost:8111/load_object?objects=r8649588&amp;referrers=false"/>
    <hyperlink ref="E258" r:id="rId456" display="http://temples.ru/card.php?ID=4857"/>
  </hyperlinks>
  <pageMargins left="0.7" right="0.7" top="0.75" bottom="0.75" header="0.3" footer="0.3"/>
  <pageSetup orientation="portrait" r:id="rId457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2"/>
  <sheetViews>
    <sheetView workbookViewId="0">
      <selection activeCell="J10" sqref="J10"/>
    </sheetView>
  </sheetViews>
  <sheetFormatPr defaultRowHeight="15"/>
  <sheetData>
    <row r="1" spans="1:4">
      <c r="C1" s="4"/>
      <c r="D1" s="4"/>
    </row>
    <row r="2" spans="1:4">
      <c r="C2" s="4"/>
      <c r="D2" s="4"/>
    </row>
    <row r="6" spans="1:4">
      <c r="A6" t="s">
        <v>158</v>
      </c>
      <c r="C6">
        <v>11</v>
      </c>
      <c r="D6">
        <v>11</v>
      </c>
    </row>
    <row r="7" spans="1:4">
      <c r="A7" t="s">
        <v>159</v>
      </c>
      <c r="C7">
        <v>46</v>
      </c>
      <c r="D7">
        <v>62</v>
      </c>
    </row>
    <row r="8" spans="1:4">
      <c r="A8" t="s">
        <v>162</v>
      </c>
      <c r="C8">
        <v>47</v>
      </c>
      <c r="D8">
        <v>61</v>
      </c>
    </row>
    <row r="9" spans="1:4">
      <c r="A9" t="s">
        <v>161</v>
      </c>
      <c r="C9">
        <v>13</v>
      </c>
      <c r="D9">
        <v>15</v>
      </c>
    </row>
    <row r="10" spans="1:4">
      <c r="A10" t="s">
        <v>164</v>
      </c>
      <c r="C10">
        <v>0</v>
      </c>
      <c r="D10">
        <v>0</v>
      </c>
    </row>
    <row r="11" spans="1:4">
      <c r="A11" t="s">
        <v>160</v>
      </c>
      <c r="C11">
        <v>25</v>
      </c>
      <c r="D11">
        <v>47</v>
      </c>
    </row>
    <row r="12" spans="1:4">
      <c r="A12" s="3" t="s">
        <v>165</v>
      </c>
      <c r="C12" s="3">
        <f>SUM(C6:C11)</f>
        <v>142</v>
      </c>
      <c r="D12" s="3">
        <f>SUM(D6:D11)</f>
        <v>196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G231"/>
  <sheetViews>
    <sheetView workbookViewId="0">
      <selection activeCell="G4" sqref="G4"/>
    </sheetView>
  </sheetViews>
  <sheetFormatPr defaultRowHeight="15"/>
  <sheetData>
    <row r="2" spans="2:7">
      <c r="B2">
        <v>47</v>
      </c>
      <c r="D2">
        <f>COUNTIF(B2:B231,"&lt;10")</f>
        <v>27</v>
      </c>
      <c r="F2" s="6" t="s">
        <v>136</v>
      </c>
      <c r="G2">
        <f>D2</f>
        <v>27</v>
      </c>
    </row>
    <row r="3" spans="2:7">
      <c r="B3">
        <v>29</v>
      </c>
      <c r="D3">
        <f>COUNTIF(B2:B231,"&lt;20")</f>
        <v>124</v>
      </c>
      <c r="F3" t="s">
        <v>137</v>
      </c>
      <c r="G3">
        <f>D3-D2</f>
        <v>97</v>
      </c>
    </row>
    <row r="4" spans="2:7">
      <c r="B4">
        <v>18</v>
      </c>
      <c r="C4" s="3"/>
      <c r="D4">
        <f>COUNTIF(B2:B231,"&lt;30")</f>
        <v>211</v>
      </c>
      <c r="F4" t="s">
        <v>138</v>
      </c>
      <c r="G4">
        <f t="shared" ref="G4:G6" si="0">D4-D3</f>
        <v>87</v>
      </c>
    </row>
    <row r="5" spans="2:7">
      <c r="B5">
        <v>15</v>
      </c>
      <c r="D5">
        <f>COUNTIF(B2:B231,"&lt;40")</f>
        <v>229</v>
      </c>
      <c r="F5" t="s">
        <v>139</v>
      </c>
      <c r="G5">
        <f t="shared" si="0"/>
        <v>18</v>
      </c>
    </row>
    <row r="6" spans="2:7">
      <c r="B6">
        <v>16</v>
      </c>
      <c r="D6">
        <f>COUNTIF(B2:B231,"&lt;50")</f>
        <v>230</v>
      </c>
      <c r="F6" t="s">
        <v>140</v>
      </c>
      <c r="G6">
        <f t="shared" si="0"/>
        <v>1</v>
      </c>
    </row>
    <row r="7" spans="2:7">
      <c r="B7">
        <v>13</v>
      </c>
      <c r="D7">
        <f>COUNTIF(B2:B231,"&gt;50")</f>
        <v>0</v>
      </c>
      <c r="F7" t="s">
        <v>141</v>
      </c>
      <c r="G7">
        <v>0</v>
      </c>
    </row>
    <row r="8" spans="2:7">
      <c r="B8">
        <v>11</v>
      </c>
    </row>
    <row r="9" spans="2:7">
      <c r="B9">
        <v>36</v>
      </c>
    </row>
    <row r="10" spans="2:7">
      <c r="B10">
        <v>10</v>
      </c>
    </row>
    <row r="11" spans="2:7">
      <c r="B11">
        <v>21</v>
      </c>
    </row>
    <row r="12" spans="2:7">
      <c r="B12">
        <v>18</v>
      </c>
    </row>
    <row r="13" spans="2:7">
      <c r="B13">
        <v>22</v>
      </c>
    </row>
    <row r="14" spans="2:7">
      <c r="B14">
        <v>13</v>
      </c>
    </row>
    <row r="15" spans="2:7">
      <c r="B15">
        <v>18</v>
      </c>
    </row>
    <row r="16" spans="2:7">
      <c r="B16">
        <v>25</v>
      </c>
    </row>
    <row r="17" spans="2:2">
      <c r="B17">
        <v>29</v>
      </c>
    </row>
    <row r="18" spans="2:2">
      <c r="B18">
        <v>17</v>
      </c>
    </row>
    <row r="19" spans="2:2">
      <c r="B19">
        <v>17</v>
      </c>
    </row>
    <row r="20" spans="2:2">
      <c r="B20">
        <v>15</v>
      </c>
    </row>
    <row r="21" spans="2:2">
      <c r="B21">
        <v>9</v>
      </c>
    </row>
    <row r="22" spans="2:2">
      <c r="B22">
        <v>25</v>
      </c>
    </row>
    <row r="23" spans="2:2">
      <c r="B23">
        <v>3</v>
      </c>
    </row>
    <row r="24" spans="2:2">
      <c r="B24">
        <v>28</v>
      </c>
    </row>
    <row r="25" spans="2:2">
      <c r="B25">
        <v>11</v>
      </c>
    </row>
    <row r="26" spans="2:2">
      <c r="B26">
        <v>19</v>
      </c>
    </row>
    <row r="27" spans="2:2">
      <c r="B27">
        <v>17</v>
      </c>
    </row>
    <row r="28" spans="2:2">
      <c r="B28">
        <v>30</v>
      </c>
    </row>
    <row r="29" spans="2:2">
      <c r="B29">
        <v>16</v>
      </c>
    </row>
    <row r="30" spans="2:2">
      <c r="B30">
        <v>21</v>
      </c>
    </row>
    <row r="31" spans="2:2">
      <c r="B31">
        <v>18</v>
      </c>
    </row>
    <row r="32" spans="2:2">
      <c r="B32">
        <v>17</v>
      </c>
    </row>
    <row r="33" spans="2:2">
      <c r="B33">
        <v>26</v>
      </c>
    </row>
    <row r="34" spans="2:2">
      <c r="B34">
        <v>7</v>
      </c>
    </row>
    <row r="35" spans="2:2">
      <c r="B35">
        <v>24</v>
      </c>
    </row>
    <row r="36" spans="2:2">
      <c r="B36">
        <v>22</v>
      </c>
    </row>
    <row r="37" spans="2:2">
      <c r="B37">
        <v>17</v>
      </c>
    </row>
    <row r="38" spans="2:2">
      <c r="B38">
        <v>38</v>
      </c>
    </row>
    <row r="39" spans="2:2">
      <c r="B39">
        <v>32</v>
      </c>
    </row>
    <row r="40" spans="2:2">
      <c r="B40">
        <v>16</v>
      </c>
    </row>
    <row r="41" spans="2:2">
      <c r="B41">
        <v>27</v>
      </c>
    </row>
    <row r="42" spans="2:2">
      <c r="B42">
        <v>33</v>
      </c>
    </row>
    <row r="43" spans="2:2">
      <c r="B43">
        <v>15</v>
      </c>
    </row>
    <row r="44" spans="2:2">
      <c r="B44">
        <v>34</v>
      </c>
    </row>
    <row r="45" spans="2:2">
      <c r="B45">
        <v>24</v>
      </c>
    </row>
    <row r="46" spans="2:2">
      <c r="B46">
        <v>7</v>
      </c>
    </row>
    <row r="47" spans="2:2">
      <c r="B47">
        <v>15</v>
      </c>
    </row>
    <row r="48" spans="2:2">
      <c r="B48">
        <v>21</v>
      </c>
    </row>
    <row r="49" spans="2:2">
      <c r="B49">
        <v>5</v>
      </c>
    </row>
    <row r="50" spans="2:2">
      <c r="B50">
        <v>21</v>
      </c>
    </row>
    <row r="51" spans="2:2">
      <c r="B51">
        <v>20</v>
      </c>
    </row>
    <row r="52" spans="2:2">
      <c r="B52">
        <v>18</v>
      </c>
    </row>
    <row r="53" spans="2:2">
      <c r="B53">
        <v>14</v>
      </c>
    </row>
    <row r="54" spans="2:2">
      <c r="B54">
        <v>18</v>
      </c>
    </row>
    <row r="55" spans="2:2">
      <c r="B55">
        <v>33</v>
      </c>
    </row>
    <row r="56" spans="2:2">
      <c r="B56">
        <v>24</v>
      </c>
    </row>
    <row r="57" spans="2:2">
      <c r="B57">
        <v>23</v>
      </c>
    </row>
    <row r="58" spans="2:2">
      <c r="B58">
        <v>34</v>
      </c>
    </row>
    <row r="59" spans="2:2">
      <c r="B59">
        <v>5</v>
      </c>
    </row>
    <row r="60" spans="2:2">
      <c r="B60">
        <v>20</v>
      </c>
    </row>
    <row r="61" spans="2:2">
      <c r="B61">
        <v>5</v>
      </c>
    </row>
    <row r="62" spans="2:2">
      <c r="B62">
        <v>24</v>
      </c>
    </row>
    <row r="63" spans="2:2">
      <c r="B63">
        <v>19</v>
      </c>
    </row>
    <row r="64" spans="2:2">
      <c r="B64">
        <v>23</v>
      </c>
    </row>
    <row r="65" spans="2:2">
      <c r="B65">
        <v>23</v>
      </c>
    </row>
    <row r="66" spans="2:2">
      <c r="B66">
        <v>19</v>
      </c>
    </row>
    <row r="67" spans="2:2">
      <c r="B67">
        <v>10</v>
      </c>
    </row>
    <row r="68" spans="2:2">
      <c r="B68">
        <v>5</v>
      </c>
    </row>
    <row r="69" spans="2:2">
      <c r="B69">
        <v>8</v>
      </c>
    </row>
    <row r="70" spans="2:2">
      <c r="B70">
        <v>4</v>
      </c>
    </row>
    <row r="71" spans="2:2">
      <c r="B71">
        <v>14</v>
      </c>
    </row>
    <row r="72" spans="2:2">
      <c r="B72">
        <v>29</v>
      </c>
    </row>
    <row r="73" spans="2:2">
      <c r="B73">
        <v>17</v>
      </c>
    </row>
    <row r="74" spans="2:2">
      <c r="B74">
        <v>35</v>
      </c>
    </row>
    <row r="75" spans="2:2">
      <c r="B75">
        <v>37</v>
      </c>
    </row>
    <row r="76" spans="2:2">
      <c r="B76">
        <v>7</v>
      </c>
    </row>
    <row r="77" spans="2:2">
      <c r="B77">
        <v>15</v>
      </c>
    </row>
    <row r="78" spans="2:2">
      <c r="B78">
        <v>30</v>
      </c>
    </row>
    <row r="79" spans="2:2">
      <c r="B79">
        <v>21</v>
      </c>
    </row>
    <row r="80" spans="2:2">
      <c r="B80">
        <v>23</v>
      </c>
    </row>
    <row r="81" spans="2:2">
      <c r="B81">
        <v>27</v>
      </c>
    </row>
    <row r="82" spans="2:2">
      <c r="B82">
        <v>28</v>
      </c>
    </row>
    <row r="83" spans="2:2">
      <c r="B83">
        <v>18</v>
      </c>
    </row>
    <row r="84" spans="2:2">
      <c r="B84">
        <v>20</v>
      </c>
    </row>
    <row r="85" spans="2:2">
      <c r="B85">
        <v>28</v>
      </c>
    </row>
    <row r="86" spans="2:2">
      <c r="B86">
        <v>25</v>
      </c>
    </row>
    <row r="87" spans="2:2">
      <c r="B87">
        <v>7</v>
      </c>
    </row>
    <row r="88" spans="2:2">
      <c r="B88">
        <v>26</v>
      </c>
    </row>
    <row r="89" spans="2:2">
      <c r="B89">
        <v>25</v>
      </c>
    </row>
    <row r="90" spans="2:2">
      <c r="B90">
        <v>16</v>
      </c>
    </row>
    <row r="91" spans="2:2">
      <c r="B91">
        <v>19</v>
      </c>
    </row>
    <row r="92" spans="2:2">
      <c r="B92">
        <v>21</v>
      </c>
    </row>
    <row r="93" spans="2:2">
      <c r="B93">
        <v>5</v>
      </c>
    </row>
    <row r="94" spans="2:2">
      <c r="B94">
        <v>20</v>
      </c>
    </row>
    <row r="95" spans="2:2">
      <c r="B95">
        <v>17</v>
      </c>
    </row>
    <row r="96" spans="2:2">
      <c r="B96">
        <v>17</v>
      </c>
    </row>
    <row r="97" spans="2:2">
      <c r="B97">
        <v>4</v>
      </c>
    </row>
    <row r="98" spans="2:2">
      <c r="B98">
        <v>21</v>
      </c>
    </row>
    <row r="99" spans="2:2">
      <c r="B99">
        <v>30</v>
      </c>
    </row>
    <row r="100" spans="2:2">
      <c r="B100">
        <v>7</v>
      </c>
    </row>
    <row r="101" spans="2:2">
      <c r="B101">
        <v>5</v>
      </c>
    </row>
    <row r="102" spans="2:2">
      <c r="B102">
        <v>20</v>
      </c>
    </row>
    <row r="103" spans="2:2">
      <c r="B103">
        <v>20</v>
      </c>
    </row>
    <row r="104" spans="2:2">
      <c r="B104">
        <v>26</v>
      </c>
    </row>
    <row r="105" spans="2:2">
      <c r="B105">
        <v>23</v>
      </c>
    </row>
    <row r="106" spans="2:2">
      <c r="B106">
        <v>19</v>
      </c>
    </row>
    <row r="107" spans="2:2">
      <c r="B107">
        <v>13</v>
      </c>
    </row>
    <row r="108" spans="2:2">
      <c r="B108">
        <v>26</v>
      </c>
    </row>
    <row r="109" spans="2:2">
      <c r="B109">
        <v>25</v>
      </c>
    </row>
    <row r="110" spans="2:2">
      <c r="B110">
        <v>32</v>
      </c>
    </row>
    <row r="111" spans="2:2">
      <c r="B111">
        <v>17</v>
      </c>
    </row>
    <row r="112" spans="2:2">
      <c r="B112">
        <v>14</v>
      </c>
    </row>
    <row r="113" spans="2:2">
      <c r="B113">
        <v>25</v>
      </c>
    </row>
    <row r="114" spans="2:2">
      <c r="B114">
        <v>20</v>
      </c>
    </row>
    <row r="115" spans="2:2">
      <c r="B115">
        <v>8</v>
      </c>
    </row>
    <row r="116" spans="2:2">
      <c r="B116">
        <v>23</v>
      </c>
    </row>
    <row r="117" spans="2:2">
      <c r="B117">
        <v>20</v>
      </c>
    </row>
    <row r="118" spans="2:2">
      <c r="B118">
        <v>22</v>
      </c>
    </row>
    <row r="119" spans="2:2">
      <c r="B119">
        <v>22</v>
      </c>
    </row>
    <row r="120" spans="2:2">
      <c r="B120">
        <v>32</v>
      </c>
    </row>
    <row r="121" spans="2:2">
      <c r="B121">
        <v>12</v>
      </c>
    </row>
    <row r="122" spans="2:2">
      <c r="B122">
        <v>21</v>
      </c>
    </row>
    <row r="123" spans="2:2">
      <c r="B123">
        <v>18</v>
      </c>
    </row>
    <row r="124" spans="2:2">
      <c r="B124">
        <v>22</v>
      </c>
    </row>
    <row r="125" spans="2:2">
      <c r="B125">
        <v>18</v>
      </c>
    </row>
    <row r="126" spans="2:2">
      <c r="B126">
        <v>21</v>
      </c>
    </row>
    <row r="127" spans="2:2">
      <c r="B127">
        <v>19</v>
      </c>
    </row>
    <row r="128" spans="2:2">
      <c r="B128">
        <v>14</v>
      </c>
    </row>
    <row r="129" spans="2:2">
      <c r="B129">
        <v>11</v>
      </c>
    </row>
    <row r="130" spans="2:2">
      <c r="B130">
        <v>19</v>
      </c>
    </row>
    <row r="131" spans="2:2">
      <c r="B131">
        <v>7</v>
      </c>
    </row>
    <row r="132" spans="2:2">
      <c r="B132">
        <v>27</v>
      </c>
    </row>
    <row r="133" spans="2:2">
      <c r="B133">
        <v>13</v>
      </c>
    </row>
    <row r="134" spans="2:2">
      <c r="B134">
        <v>17</v>
      </c>
    </row>
    <row r="135" spans="2:2">
      <c r="B135">
        <v>16</v>
      </c>
    </row>
    <row r="136" spans="2:2">
      <c r="B136">
        <v>38</v>
      </c>
    </row>
    <row r="137" spans="2:2">
      <c r="B137">
        <v>16</v>
      </c>
    </row>
    <row r="138" spans="2:2">
      <c r="B138">
        <v>24</v>
      </c>
    </row>
    <row r="139" spans="2:2">
      <c r="B139">
        <v>36</v>
      </c>
    </row>
    <row r="140" spans="2:2">
      <c r="B140">
        <v>24</v>
      </c>
    </row>
    <row r="141" spans="2:2">
      <c r="B141">
        <v>15</v>
      </c>
    </row>
    <row r="142" spans="2:2">
      <c r="B142">
        <v>22</v>
      </c>
    </row>
    <row r="143" spans="2:2">
      <c r="B143">
        <v>21</v>
      </c>
    </row>
    <row r="144" spans="2:2">
      <c r="B144">
        <v>16</v>
      </c>
    </row>
    <row r="145" spans="2:2">
      <c r="B145">
        <v>26</v>
      </c>
    </row>
    <row r="146" spans="2:2">
      <c r="B146">
        <v>15</v>
      </c>
    </row>
    <row r="147" spans="2:2">
      <c r="B147">
        <v>17</v>
      </c>
    </row>
    <row r="148" spans="2:2">
      <c r="B148">
        <v>14</v>
      </c>
    </row>
    <row r="149" spans="2:2">
      <c r="B149">
        <v>14</v>
      </c>
    </row>
    <row r="150" spans="2:2">
      <c r="B150">
        <v>18</v>
      </c>
    </row>
    <row r="151" spans="2:2">
      <c r="B151">
        <v>14</v>
      </c>
    </row>
    <row r="152" spans="2:2">
      <c r="B152">
        <v>10</v>
      </c>
    </row>
    <row r="153" spans="2:2">
      <c r="B153">
        <v>21</v>
      </c>
    </row>
    <row r="154" spans="2:2">
      <c r="B154">
        <v>22</v>
      </c>
    </row>
    <row r="155" spans="2:2">
      <c r="B155">
        <v>23</v>
      </c>
    </row>
    <row r="156" spans="2:2">
      <c r="B156">
        <v>21</v>
      </c>
    </row>
    <row r="157" spans="2:2">
      <c r="B157">
        <v>23</v>
      </c>
    </row>
    <row r="158" spans="2:2">
      <c r="B158">
        <v>26</v>
      </c>
    </row>
    <row r="159" spans="2:2">
      <c r="B159">
        <v>18</v>
      </c>
    </row>
    <row r="160" spans="2:2">
      <c r="B160">
        <v>19</v>
      </c>
    </row>
    <row r="161" spans="2:2">
      <c r="B161">
        <v>18</v>
      </c>
    </row>
    <row r="162" spans="2:2">
      <c r="B162">
        <v>19</v>
      </c>
    </row>
    <row r="163" spans="2:2">
      <c r="B163">
        <v>23</v>
      </c>
    </row>
    <row r="164" spans="2:2">
      <c r="B164">
        <v>14</v>
      </c>
    </row>
    <row r="165" spans="2:2">
      <c r="B165">
        <v>28</v>
      </c>
    </row>
    <row r="166" spans="2:2">
      <c r="B166">
        <v>16</v>
      </c>
    </row>
    <row r="167" spans="2:2">
      <c r="B167">
        <v>21</v>
      </c>
    </row>
    <row r="168" spans="2:2">
      <c r="B168">
        <v>29</v>
      </c>
    </row>
    <row r="169" spans="2:2">
      <c r="B169">
        <v>25</v>
      </c>
    </row>
    <row r="170" spans="2:2">
      <c r="B170">
        <v>26</v>
      </c>
    </row>
    <row r="171" spans="2:2">
      <c r="B171">
        <v>16</v>
      </c>
    </row>
    <row r="172" spans="2:2">
      <c r="B172">
        <v>6</v>
      </c>
    </row>
    <row r="173" spans="2:2">
      <c r="B173">
        <v>1</v>
      </c>
    </row>
    <row r="174" spans="2:2">
      <c r="B174">
        <v>18</v>
      </c>
    </row>
    <row r="175" spans="2:2">
      <c r="B175">
        <v>15</v>
      </c>
    </row>
    <row r="176" spans="2:2">
      <c r="B176">
        <v>16</v>
      </c>
    </row>
    <row r="177" spans="2:2">
      <c r="B177">
        <v>16</v>
      </c>
    </row>
    <row r="178" spans="2:2">
      <c r="B178">
        <v>16</v>
      </c>
    </row>
    <row r="179" spans="2:2">
      <c r="B179">
        <v>10</v>
      </c>
    </row>
    <row r="180" spans="2:2">
      <c r="B180">
        <v>14</v>
      </c>
    </row>
    <row r="181" spans="2:2">
      <c r="B181">
        <v>14</v>
      </c>
    </row>
    <row r="182" spans="2:2">
      <c r="B182">
        <v>14</v>
      </c>
    </row>
    <row r="183" spans="2:2">
      <c r="B183">
        <v>14</v>
      </c>
    </row>
    <row r="184" spans="2:2">
      <c r="B184">
        <v>21</v>
      </c>
    </row>
    <row r="185" spans="2:2">
      <c r="B185">
        <v>14</v>
      </c>
    </row>
    <row r="186" spans="2:2">
      <c r="B186">
        <v>17</v>
      </c>
    </row>
    <row r="187" spans="2:2">
      <c r="B187">
        <v>17</v>
      </c>
    </row>
    <row r="188" spans="2:2">
      <c r="B188">
        <v>23</v>
      </c>
    </row>
    <row r="189" spans="2:2">
      <c r="B189">
        <v>15</v>
      </c>
    </row>
    <row r="190" spans="2:2">
      <c r="B190">
        <v>20</v>
      </c>
    </row>
    <row r="191" spans="2:2">
      <c r="B191">
        <v>9</v>
      </c>
    </row>
    <row r="192" spans="2:2">
      <c r="B192">
        <v>14</v>
      </c>
    </row>
    <row r="193" spans="2:2">
      <c r="B193">
        <v>18</v>
      </c>
    </row>
    <row r="194" spans="2:2">
      <c r="B194">
        <v>24</v>
      </c>
    </row>
    <row r="195" spans="2:2">
      <c r="B195">
        <v>16</v>
      </c>
    </row>
    <row r="196" spans="2:2">
      <c r="B196">
        <v>22</v>
      </c>
    </row>
    <row r="197" spans="2:2">
      <c r="B197">
        <v>23</v>
      </c>
    </row>
    <row r="198" spans="2:2">
      <c r="B198">
        <v>20</v>
      </c>
    </row>
    <row r="199" spans="2:2">
      <c r="B199">
        <v>17</v>
      </c>
    </row>
    <row r="200" spans="2:2">
      <c r="B200">
        <v>23</v>
      </c>
    </row>
    <row r="201" spans="2:2">
      <c r="B201">
        <v>17</v>
      </c>
    </row>
    <row r="202" spans="2:2">
      <c r="B202">
        <v>15</v>
      </c>
    </row>
    <row r="203" spans="2:2">
      <c r="B203">
        <v>10</v>
      </c>
    </row>
    <row r="204" spans="2:2">
      <c r="B204">
        <v>20</v>
      </c>
    </row>
    <row r="205" spans="2:2">
      <c r="B205">
        <v>5</v>
      </c>
    </row>
    <row r="206" spans="2:2">
      <c r="B206">
        <v>5</v>
      </c>
    </row>
    <row r="207" spans="2:2">
      <c r="B207">
        <v>8</v>
      </c>
    </row>
    <row r="208" spans="2:2">
      <c r="B208">
        <v>29</v>
      </c>
    </row>
    <row r="209" spans="2:2">
      <c r="B209">
        <v>17</v>
      </c>
    </row>
    <row r="210" spans="2:2">
      <c r="B210">
        <v>26</v>
      </c>
    </row>
    <row r="211" spans="2:2">
      <c r="B211">
        <v>21</v>
      </c>
    </row>
    <row r="212" spans="2:2">
      <c r="B212">
        <v>26</v>
      </c>
    </row>
    <row r="213" spans="2:2">
      <c r="B213">
        <v>9</v>
      </c>
    </row>
    <row r="214" spans="2:2">
      <c r="B214">
        <v>2</v>
      </c>
    </row>
    <row r="215" spans="2:2">
      <c r="B215">
        <v>24</v>
      </c>
    </row>
    <row r="216" spans="2:2">
      <c r="B216">
        <v>15</v>
      </c>
    </row>
    <row r="217" spans="2:2">
      <c r="B217">
        <v>10</v>
      </c>
    </row>
    <row r="218" spans="2:2">
      <c r="B218">
        <v>27</v>
      </c>
    </row>
    <row r="219" spans="2:2">
      <c r="B219">
        <v>31</v>
      </c>
    </row>
    <row r="220" spans="2:2">
      <c r="B220">
        <v>10</v>
      </c>
    </row>
    <row r="221" spans="2:2">
      <c r="B221">
        <v>25</v>
      </c>
    </row>
    <row r="222" spans="2:2">
      <c r="B222">
        <v>23</v>
      </c>
    </row>
    <row r="223" spans="2:2">
      <c r="B223">
        <v>20</v>
      </c>
    </row>
    <row r="224" spans="2:2">
      <c r="B224">
        <v>11</v>
      </c>
    </row>
    <row r="225" spans="2:2">
      <c r="B225">
        <v>16</v>
      </c>
    </row>
    <row r="226" spans="2:2">
      <c r="B226">
        <v>18</v>
      </c>
    </row>
    <row r="227" spans="2:2">
      <c r="B227">
        <v>35</v>
      </c>
    </row>
    <row r="228" spans="2:2">
      <c r="B228">
        <v>0</v>
      </c>
    </row>
    <row r="229" spans="2:2">
      <c r="B229">
        <v>13</v>
      </c>
    </row>
    <row r="230" spans="2:2">
      <c r="B230">
        <v>27</v>
      </c>
    </row>
    <row r="231" spans="2:2">
      <c r="B231">
        <v>13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ColorCodes"/>
  <dimension ref="A1:E148"/>
  <sheetViews>
    <sheetView topLeftCell="A20" workbookViewId="0">
      <selection activeCell="C32" sqref="C32"/>
    </sheetView>
  </sheetViews>
  <sheetFormatPr defaultRowHeight="15"/>
  <cols>
    <col min="3" max="3" width="27" customWidth="1"/>
    <col min="4" max="4" width="20" customWidth="1"/>
    <col min="5" max="5" width="24.7109375" customWidth="1"/>
  </cols>
  <sheetData>
    <row r="1" spans="1:5" ht="36.75" thickBot="1">
      <c r="A1" s="7" t="s">
        <v>511</v>
      </c>
      <c r="B1" s="7" t="s">
        <v>512</v>
      </c>
      <c r="C1" s="7" t="s">
        <v>166</v>
      </c>
      <c r="D1" s="7" t="s">
        <v>167</v>
      </c>
      <c r="E1" s="7" t="s">
        <v>168</v>
      </c>
    </row>
    <row r="2" spans="1:5" ht="19.5" thickBot="1">
      <c r="A2" s="8"/>
      <c r="B2" s="8"/>
      <c r="C2" s="9" t="s">
        <v>169</v>
      </c>
      <c r="D2" s="10" t="s">
        <v>170</v>
      </c>
      <c r="E2" s="11">
        <v>240248255</v>
      </c>
    </row>
    <row r="3" spans="1:5" ht="19.5" thickBot="1">
      <c r="A3" s="12"/>
      <c r="B3" s="12"/>
      <c r="C3" s="9" t="s">
        <v>171</v>
      </c>
      <c r="D3" s="10" t="s">
        <v>172</v>
      </c>
      <c r="E3" s="11">
        <v>250235215</v>
      </c>
    </row>
    <row r="4" spans="1:5" ht="19.5" thickBot="1">
      <c r="A4" s="13"/>
      <c r="B4" s="13"/>
      <c r="C4" s="9" t="s">
        <v>173</v>
      </c>
      <c r="D4" s="10" t="s">
        <v>174</v>
      </c>
      <c r="E4" s="10" t="s">
        <v>175</v>
      </c>
    </row>
    <row r="5" spans="1:5" ht="19.5" thickBot="1">
      <c r="A5" s="14"/>
      <c r="B5" s="14"/>
      <c r="C5" s="9" t="s">
        <v>176</v>
      </c>
      <c r="D5" s="10" t="s">
        <v>177</v>
      </c>
      <c r="E5" s="11">
        <v>127255212</v>
      </c>
    </row>
    <row r="6" spans="1:5" ht="19.5" thickBot="1">
      <c r="A6" s="15"/>
      <c r="B6" s="15"/>
      <c r="C6" s="9" t="s">
        <v>178</v>
      </c>
      <c r="D6" s="10" t="s">
        <v>179</v>
      </c>
      <c r="E6" s="11">
        <v>240255255</v>
      </c>
    </row>
    <row r="7" spans="1:5" ht="19.5" thickBot="1">
      <c r="A7" s="16"/>
      <c r="B7" s="16"/>
      <c r="C7" s="9" t="s">
        <v>180</v>
      </c>
      <c r="D7" s="10" t="s">
        <v>181</v>
      </c>
      <c r="E7" s="11">
        <v>245245220</v>
      </c>
    </row>
    <row r="8" spans="1:5" ht="19.5" thickBot="1">
      <c r="A8" s="17"/>
      <c r="B8" s="17"/>
      <c r="C8" s="9" t="s">
        <v>182</v>
      </c>
      <c r="D8" s="10" t="s">
        <v>183</v>
      </c>
      <c r="E8" s="11">
        <v>255228196</v>
      </c>
    </row>
    <row r="9" spans="1:5" ht="19.5" thickBot="1">
      <c r="A9" s="18"/>
      <c r="B9" s="18"/>
      <c r="C9" s="9" t="s">
        <v>184</v>
      </c>
      <c r="D9" s="10" t="s">
        <v>185</v>
      </c>
      <c r="E9" s="10" t="s">
        <v>186</v>
      </c>
    </row>
    <row r="10" spans="1:5" ht="19.5" thickBot="1">
      <c r="A10" s="19"/>
      <c r="B10" s="19"/>
      <c r="C10" s="9" t="s">
        <v>187</v>
      </c>
      <c r="D10" s="10" t="s">
        <v>188</v>
      </c>
      <c r="E10" s="11">
        <v>255235205</v>
      </c>
    </row>
    <row r="11" spans="1:5" ht="19.5" thickBot="1">
      <c r="A11" s="20"/>
      <c r="B11" s="20"/>
      <c r="C11" s="9" t="s">
        <v>189</v>
      </c>
      <c r="D11" s="10" t="s">
        <v>190</v>
      </c>
      <c r="E11" s="10" t="s">
        <v>191</v>
      </c>
    </row>
    <row r="12" spans="1:5" ht="19.5" thickBot="1">
      <c r="A12" s="21"/>
      <c r="B12" s="21"/>
      <c r="C12" s="9" t="s">
        <v>192</v>
      </c>
      <c r="D12" s="10" t="s">
        <v>193</v>
      </c>
      <c r="E12" s="10" t="s">
        <v>194</v>
      </c>
    </row>
    <row r="13" spans="1:5" ht="19.5" thickBot="1">
      <c r="A13" s="22"/>
      <c r="B13" s="22"/>
      <c r="C13" s="9" t="s">
        <v>195</v>
      </c>
      <c r="D13" s="10" t="s">
        <v>196</v>
      </c>
      <c r="E13" s="10" t="s">
        <v>197</v>
      </c>
    </row>
    <row r="14" spans="1:5" ht="19.5" thickBot="1">
      <c r="A14" s="23"/>
      <c r="B14" s="23"/>
      <c r="C14" s="9" t="s">
        <v>198</v>
      </c>
      <c r="D14" s="10" t="s">
        <v>199</v>
      </c>
      <c r="E14" s="11">
        <v>222184135</v>
      </c>
    </row>
    <row r="15" spans="1:5" ht="19.5" thickBot="1">
      <c r="A15" s="24"/>
      <c r="B15" s="24"/>
      <c r="C15" s="9" t="s">
        <v>200</v>
      </c>
      <c r="D15" s="10" t="s">
        <v>201</v>
      </c>
      <c r="E15" s="11">
        <v>95158160</v>
      </c>
    </row>
    <row r="16" spans="1:5" ht="19.5" thickBot="1">
      <c r="A16" s="25"/>
      <c r="B16" s="25"/>
      <c r="C16" s="9" t="s">
        <v>202</v>
      </c>
      <c r="D16" s="10" t="s">
        <v>203</v>
      </c>
      <c r="E16" s="10" t="s">
        <v>204</v>
      </c>
    </row>
    <row r="17" spans="1:5" ht="19.5" thickBot="1">
      <c r="A17" s="26"/>
      <c r="B17" s="26"/>
      <c r="C17" s="9" t="s">
        <v>205</v>
      </c>
      <c r="D17" s="10" t="s">
        <v>206</v>
      </c>
      <c r="E17" s="10" t="s">
        <v>207</v>
      </c>
    </row>
    <row r="18" spans="1:5" ht="19.5" thickBot="1">
      <c r="A18" s="27"/>
      <c r="B18" s="27"/>
      <c r="C18" s="9" t="s">
        <v>208</v>
      </c>
      <c r="D18" s="10" t="s">
        <v>209</v>
      </c>
      <c r="E18" s="10" t="s">
        <v>210</v>
      </c>
    </row>
    <row r="19" spans="1:5" ht="19.5" thickBot="1">
      <c r="A19" s="28"/>
      <c r="B19" s="28"/>
      <c r="C19" s="9" t="s">
        <v>211</v>
      </c>
      <c r="D19" s="10" t="s">
        <v>212</v>
      </c>
      <c r="E19" s="11">
        <v>100149237</v>
      </c>
    </row>
    <row r="20" spans="1:5" ht="19.5" thickBot="1">
      <c r="A20" s="29"/>
      <c r="B20" s="29"/>
      <c r="C20" s="9" t="s">
        <v>213</v>
      </c>
      <c r="D20" s="10" t="s">
        <v>214</v>
      </c>
      <c r="E20" s="11">
        <v>255248220</v>
      </c>
    </row>
    <row r="21" spans="1:5" ht="19.5" thickBot="1">
      <c r="A21" s="30"/>
      <c r="B21" s="30"/>
      <c r="C21" s="9" t="s">
        <v>215</v>
      </c>
      <c r="D21" s="10" t="s">
        <v>216</v>
      </c>
      <c r="E21" s="10" t="s">
        <v>217</v>
      </c>
    </row>
    <row r="22" spans="1:5" ht="19.5" thickBot="1">
      <c r="A22" s="13"/>
      <c r="B22" s="13"/>
      <c r="C22" s="9" t="s">
        <v>218</v>
      </c>
      <c r="D22" s="10" t="s">
        <v>174</v>
      </c>
      <c r="E22" s="10" t="s">
        <v>175</v>
      </c>
    </row>
    <row r="23" spans="1:5" ht="19.5" thickBot="1">
      <c r="A23" s="31"/>
      <c r="B23" s="31"/>
      <c r="C23" s="9" t="s">
        <v>219</v>
      </c>
      <c r="D23" s="10" t="s">
        <v>220</v>
      </c>
      <c r="E23" s="10" t="s">
        <v>221</v>
      </c>
    </row>
    <row r="24" spans="1:5" ht="19.5" thickBot="1">
      <c r="A24" s="32"/>
      <c r="B24" s="32"/>
      <c r="C24" s="9" t="s">
        <v>222</v>
      </c>
      <c r="D24" s="10" t="s">
        <v>223</v>
      </c>
      <c r="E24" s="10" t="s">
        <v>224</v>
      </c>
    </row>
    <row r="25" spans="1:5" ht="19.5" thickBot="1">
      <c r="A25" s="33"/>
      <c r="B25" s="33"/>
      <c r="C25" s="9" t="s">
        <v>225</v>
      </c>
      <c r="D25" s="10" t="s">
        <v>226</v>
      </c>
      <c r="E25" s="10" t="s">
        <v>227</v>
      </c>
    </row>
    <row r="26" spans="1:5" ht="19.5" thickBot="1">
      <c r="A26" s="34"/>
      <c r="B26" s="34"/>
      <c r="C26" s="9" t="s">
        <v>228</v>
      </c>
      <c r="D26" s="10" t="s">
        <v>229</v>
      </c>
      <c r="E26" s="11">
        <v>169169169</v>
      </c>
    </row>
    <row r="27" spans="1:5" ht="19.5" thickBot="1">
      <c r="A27" s="35"/>
      <c r="B27" s="35"/>
      <c r="C27" s="9" t="s">
        <v>230</v>
      </c>
      <c r="D27" s="10" t="s">
        <v>231</v>
      </c>
      <c r="E27" s="10" t="s">
        <v>232</v>
      </c>
    </row>
    <row r="28" spans="1:5" ht="19.5" thickBot="1">
      <c r="A28" s="36"/>
      <c r="B28" s="34"/>
      <c r="C28" s="9" t="s">
        <v>233</v>
      </c>
      <c r="D28" s="10" t="s">
        <v>229</v>
      </c>
      <c r="E28" s="11">
        <v>169169169</v>
      </c>
    </row>
    <row r="29" spans="1:5" ht="19.5" thickBot="1">
      <c r="A29" s="37"/>
      <c r="B29" s="37"/>
      <c r="C29" s="9" t="s">
        <v>234</v>
      </c>
      <c r="D29" s="10" t="s">
        <v>235</v>
      </c>
      <c r="E29" s="11">
        <v>189183107</v>
      </c>
    </row>
    <row r="30" spans="1:5" ht="19.5" thickBot="1">
      <c r="A30" s="38"/>
      <c r="B30" s="38"/>
      <c r="C30" s="9" t="s">
        <v>236</v>
      </c>
      <c r="D30" s="10" t="s">
        <v>237</v>
      </c>
      <c r="E30" s="10" t="s">
        <v>238</v>
      </c>
    </row>
    <row r="31" spans="1:5" ht="19.5" thickBot="1">
      <c r="A31" s="39"/>
      <c r="B31" s="39" t="s">
        <v>239</v>
      </c>
      <c r="C31" s="9" t="s">
        <v>240</v>
      </c>
      <c r="D31" s="10" t="s">
        <v>241</v>
      </c>
      <c r="E31" s="10" t="s">
        <v>242</v>
      </c>
    </row>
    <row r="32" spans="1:5" ht="19.5" thickBot="1">
      <c r="A32" s="40"/>
      <c r="B32" s="40"/>
      <c r="C32" s="9" t="s">
        <v>243</v>
      </c>
      <c r="D32" s="10" t="s">
        <v>244</v>
      </c>
      <c r="E32" s="10" t="s">
        <v>245</v>
      </c>
    </row>
    <row r="33" spans="1:5" ht="19.5" thickBot="1">
      <c r="A33" s="41"/>
      <c r="B33" s="41"/>
      <c r="C33" s="9" t="s">
        <v>246</v>
      </c>
      <c r="D33" s="10" t="s">
        <v>247</v>
      </c>
      <c r="E33" s="10" t="s">
        <v>248</v>
      </c>
    </row>
    <row r="34" spans="1:5" ht="19.5" thickBot="1">
      <c r="A34" s="42"/>
      <c r="B34" s="42"/>
      <c r="C34" s="9" t="s">
        <v>249</v>
      </c>
      <c r="D34" s="10" t="s">
        <v>250</v>
      </c>
      <c r="E34" s="10" t="s">
        <v>251</v>
      </c>
    </row>
    <row r="35" spans="1:5" ht="19.5" thickBot="1">
      <c r="A35" s="43"/>
      <c r="B35" s="43"/>
      <c r="C35" s="9" t="s">
        <v>252</v>
      </c>
      <c r="D35" s="10" t="s">
        <v>253</v>
      </c>
      <c r="E35" s="11">
        <v>233150122</v>
      </c>
    </row>
    <row r="36" spans="1:5" ht="19.5" thickBot="1">
      <c r="A36" s="44"/>
      <c r="B36" s="44"/>
      <c r="C36" s="9" t="s">
        <v>254</v>
      </c>
      <c r="D36" s="10" t="s">
        <v>255</v>
      </c>
      <c r="E36" s="11">
        <v>143188143</v>
      </c>
    </row>
    <row r="37" spans="1:5" ht="19.5" thickBot="1">
      <c r="A37" s="45"/>
      <c r="B37" s="45"/>
      <c r="C37" s="9" t="s">
        <v>256</v>
      </c>
      <c r="D37" s="10" t="s">
        <v>257</v>
      </c>
      <c r="E37" s="10" t="s">
        <v>258</v>
      </c>
    </row>
    <row r="38" spans="1:5" ht="19.5" thickBot="1">
      <c r="A38" s="46"/>
      <c r="B38" s="46"/>
      <c r="C38" s="9" t="s">
        <v>259</v>
      </c>
      <c r="D38" s="10" t="s">
        <v>260</v>
      </c>
      <c r="E38" s="10" t="s">
        <v>261</v>
      </c>
    </row>
    <row r="39" spans="1:5" ht="19.5" thickBot="1">
      <c r="A39" s="36"/>
      <c r="B39" s="46"/>
      <c r="C39" s="9" t="s">
        <v>262</v>
      </c>
      <c r="D39" s="10" t="s">
        <v>260</v>
      </c>
      <c r="E39" s="10" t="s">
        <v>261</v>
      </c>
    </row>
    <row r="40" spans="1:5" ht="19.5" thickBot="1">
      <c r="A40" s="47"/>
      <c r="B40" s="47"/>
      <c r="C40" s="9" t="s">
        <v>263</v>
      </c>
      <c r="D40" s="10" t="s">
        <v>264</v>
      </c>
      <c r="E40" s="10" t="s">
        <v>265</v>
      </c>
    </row>
    <row r="41" spans="1:5" ht="19.5" thickBot="1">
      <c r="A41" s="48"/>
      <c r="B41" s="48"/>
      <c r="C41" s="9" t="s">
        <v>266</v>
      </c>
      <c r="D41" s="10" t="s">
        <v>267</v>
      </c>
      <c r="E41" s="10" t="s">
        <v>268</v>
      </c>
    </row>
    <row r="42" spans="1:5" ht="19.5" thickBot="1">
      <c r="A42" s="49"/>
      <c r="B42" s="49"/>
      <c r="C42" s="9" t="s">
        <v>269</v>
      </c>
      <c r="D42" s="10" t="s">
        <v>270</v>
      </c>
      <c r="E42" s="10" t="s">
        <v>271</v>
      </c>
    </row>
    <row r="43" spans="1:5" ht="19.5" thickBot="1">
      <c r="A43" s="50"/>
      <c r="B43" s="50"/>
      <c r="C43" s="9" t="s">
        <v>272</v>
      </c>
      <c r="D43" s="10" t="s">
        <v>273</v>
      </c>
      <c r="E43" s="10" t="s">
        <v>274</v>
      </c>
    </row>
    <row r="44" spans="1:5" ht="19.5" thickBot="1">
      <c r="A44" s="51"/>
      <c r="B44" s="51"/>
      <c r="C44" s="9" t="s">
        <v>275</v>
      </c>
      <c r="D44" s="10" t="s">
        <v>276</v>
      </c>
      <c r="E44" s="11">
        <v>105105105</v>
      </c>
    </row>
    <row r="45" spans="1:5" ht="19.5" thickBot="1">
      <c r="A45" s="36"/>
      <c r="B45" s="51"/>
      <c r="C45" s="9" t="s">
        <v>277</v>
      </c>
      <c r="D45" s="10" t="s">
        <v>276</v>
      </c>
      <c r="E45" s="11">
        <v>105105105</v>
      </c>
    </row>
    <row r="46" spans="1:5" ht="19.5" thickBot="1">
      <c r="A46" s="52"/>
      <c r="B46" s="52"/>
      <c r="C46" s="9" t="s">
        <v>278</v>
      </c>
      <c r="D46" s="10" t="s">
        <v>279</v>
      </c>
      <c r="E46" s="11">
        <v>30144255</v>
      </c>
    </row>
    <row r="47" spans="1:5" ht="19.5" thickBot="1">
      <c r="A47" s="53"/>
      <c r="B47" s="53"/>
      <c r="C47" s="9" t="s">
        <v>280</v>
      </c>
      <c r="D47" s="10" t="s">
        <v>281</v>
      </c>
      <c r="E47" s="10" t="s">
        <v>282</v>
      </c>
    </row>
    <row r="48" spans="1:5" ht="19.5" thickBot="1">
      <c r="A48" s="54"/>
      <c r="B48" s="54"/>
      <c r="C48" s="9" t="s">
        <v>283</v>
      </c>
      <c r="D48" s="10" t="s">
        <v>284</v>
      </c>
      <c r="E48" s="11">
        <v>255250240</v>
      </c>
    </row>
    <row r="49" spans="1:5" ht="19.5" thickBot="1">
      <c r="A49" s="55"/>
      <c r="B49" s="55"/>
      <c r="C49" s="9" t="s">
        <v>285</v>
      </c>
      <c r="D49" s="10" t="s">
        <v>286</v>
      </c>
      <c r="E49" s="10" t="s">
        <v>287</v>
      </c>
    </row>
    <row r="50" spans="1:5" ht="19.5" thickBot="1">
      <c r="A50" s="56"/>
      <c r="B50" s="56"/>
      <c r="C50" s="9" t="s">
        <v>288</v>
      </c>
      <c r="D50" s="10" t="s">
        <v>289</v>
      </c>
      <c r="E50" s="10" t="s">
        <v>290</v>
      </c>
    </row>
    <row r="51" spans="1:5" ht="19.5" thickBot="1">
      <c r="A51" s="57"/>
      <c r="B51" s="57"/>
      <c r="C51" s="9" t="s">
        <v>291</v>
      </c>
      <c r="D51" s="10" t="s">
        <v>292</v>
      </c>
      <c r="E51" s="11">
        <v>220220220</v>
      </c>
    </row>
    <row r="52" spans="1:5" ht="19.5" thickBot="1">
      <c r="A52" s="58"/>
      <c r="B52" s="58"/>
      <c r="C52" s="9" t="s">
        <v>293</v>
      </c>
      <c r="D52" s="10" t="s">
        <v>294</v>
      </c>
      <c r="E52" s="11">
        <v>248248255</v>
      </c>
    </row>
    <row r="53" spans="1:5" ht="19.5" thickBot="1">
      <c r="A53" s="59"/>
      <c r="B53" s="59"/>
      <c r="C53" s="9" t="s">
        <v>295</v>
      </c>
      <c r="D53" s="10" t="s">
        <v>296</v>
      </c>
      <c r="E53" s="10" t="s">
        <v>297</v>
      </c>
    </row>
    <row r="54" spans="1:5" ht="19.5" thickBot="1">
      <c r="A54" s="60"/>
      <c r="B54" s="60"/>
      <c r="C54" s="9" t="s">
        <v>298</v>
      </c>
      <c r="D54" s="10" t="s">
        <v>299</v>
      </c>
      <c r="E54" s="10" t="s">
        <v>300</v>
      </c>
    </row>
    <row r="55" spans="1:5" ht="19.5" thickBot="1">
      <c r="A55" s="61"/>
      <c r="B55" s="61"/>
      <c r="C55" s="9" t="s">
        <v>301</v>
      </c>
      <c r="D55" s="10" t="s">
        <v>302</v>
      </c>
      <c r="E55" s="11">
        <v>128128128</v>
      </c>
    </row>
    <row r="56" spans="1:5" ht="19.5" thickBot="1">
      <c r="A56" s="62"/>
      <c r="B56" s="62"/>
      <c r="C56" s="9" t="s">
        <v>303</v>
      </c>
      <c r="D56" s="10" t="s">
        <v>304</v>
      </c>
      <c r="E56" s="10" t="s">
        <v>305</v>
      </c>
    </row>
    <row r="57" spans="1:5" ht="19.5" thickBot="1">
      <c r="A57" s="63"/>
      <c r="B57" s="63"/>
      <c r="C57" s="9" t="s">
        <v>306</v>
      </c>
      <c r="D57" s="10" t="s">
        <v>307</v>
      </c>
      <c r="E57" s="10" t="s">
        <v>308</v>
      </c>
    </row>
    <row r="58" spans="1:5" ht="19.5" thickBot="1">
      <c r="A58" s="36"/>
      <c r="B58" s="61"/>
      <c r="C58" s="9" t="s">
        <v>309</v>
      </c>
      <c r="D58" s="10" t="s">
        <v>302</v>
      </c>
      <c r="E58" s="11">
        <v>128128128</v>
      </c>
    </row>
    <row r="59" spans="1:5" ht="19.5" thickBot="1">
      <c r="A59" s="64"/>
      <c r="B59" s="64"/>
      <c r="C59" s="9" t="s">
        <v>310</v>
      </c>
      <c r="D59" s="10" t="s">
        <v>311</v>
      </c>
      <c r="E59" s="11">
        <v>240255240</v>
      </c>
    </row>
    <row r="60" spans="1:5" ht="19.5" thickBot="1">
      <c r="A60" s="65"/>
      <c r="B60" s="65"/>
      <c r="C60" s="9" t="s">
        <v>312</v>
      </c>
      <c r="D60" s="10" t="s">
        <v>313</v>
      </c>
      <c r="E60" s="11">
        <v>255105180</v>
      </c>
    </row>
    <row r="61" spans="1:5" ht="19.5" thickBot="1">
      <c r="A61" s="66"/>
      <c r="B61" s="66"/>
      <c r="C61" s="9" t="s">
        <v>314</v>
      </c>
      <c r="D61" s="10" t="s">
        <v>315</v>
      </c>
      <c r="E61" s="10" t="s">
        <v>316</v>
      </c>
    </row>
    <row r="62" spans="1:5" ht="19.5" thickBot="1">
      <c r="A62" s="67"/>
      <c r="B62" s="67"/>
      <c r="C62" s="9" t="s">
        <v>317</v>
      </c>
      <c r="D62" s="10" t="s">
        <v>318</v>
      </c>
      <c r="E62" s="10" t="s">
        <v>319</v>
      </c>
    </row>
    <row r="63" spans="1:5" ht="19.5" thickBot="1">
      <c r="A63" s="68"/>
      <c r="B63" s="68"/>
      <c r="C63" s="9" t="s">
        <v>320</v>
      </c>
      <c r="D63" s="10" t="s">
        <v>321</v>
      </c>
      <c r="E63" s="11">
        <v>255255240</v>
      </c>
    </row>
    <row r="64" spans="1:5" ht="19.5" thickBot="1">
      <c r="A64" s="69"/>
      <c r="B64" s="69"/>
      <c r="C64" s="9" t="s">
        <v>322</v>
      </c>
      <c r="D64" s="10" t="s">
        <v>323</v>
      </c>
      <c r="E64" s="11">
        <v>240230140</v>
      </c>
    </row>
    <row r="65" spans="1:5" ht="19.5" thickBot="1">
      <c r="A65" s="70"/>
      <c r="B65" s="70"/>
      <c r="C65" s="9" t="s">
        <v>324</v>
      </c>
      <c r="D65" s="10" t="s">
        <v>325</v>
      </c>
      <c r="E65" s="11">
        <v>230230250</v>
      </c>
    </row>
    <row r="66" spans="1:5" ht="19.5" thickBot="1">
      <c r="A66" s="71"/>
      <c r="B66" s="71"/>
      <c r="C66" s="9" t="s">
        <v>326</v>
      </c>
      <c r="D66" s="10" t="s">
        <v>327</v>
      </c>
      <c r="E66" s="11">
        <v>255240245</v>
      </c>
    </row>
    <row r="67" spans="1:5" ht="19.5" thickBot="1">
      <c r="A67" s="72"/>
      <c r="B67" s="72"/>
      <c r="C67" s="9" t="s">
        <v>328</v>
      </c>
      <c r="D67" s="10" t="s">
        <v>329</v>
      </c>
      <c r="E67" s="10" t="s">
        <v>330</v>
      </c>
    </row>
    <row r="68" spans="1:5" ht="19.5" thickBot="1">
      <c r="A68" s="73"/>
      <c r="B68" s="73"/>
      <c r="C68" s="9" t="s">
        <v>331</v>
      </c>
      <c r="D68" s="10" t="s">
        <v>332</v>
      </c>
      <c r="E68" s="11">
        <v>255250205</v>
      </c>
    </row>
    <row r="69" spans="1:5" ht="19.5" thickBot="1">
      <c r="A69" s="74"/>
      <c r="B69" s="74"/>
      <c r="C69" s="9" t="s">
        <v>333</v>
      </c>
      <c r="D69" s="10" t="s">
        <v>334</v>
      </c>
      <c r="E69" s="11">
        <v>173216230</v>
      </c>
    </row>
    <row r="70" spans="1:5" ht="19.5" thickBot="1">
      <c r="A70" s="75"/>
      <c r="B70" s="75"/>
      <c r="C70" s="9" t="s">
        <v>335</v>
      </c>
      <c r="D70" s="10" t="s">
        <v>336</v>
      </c>
      <c r="E70" s="11">
        <v>240128128</v>
      </c>
    </row>
    <row r="71" spans="1:5" ht="19.5" thickBot="1">
      <c r="A71" s="76"/>
      <c r="B71" s="76"/>
      <c r="C71" s="9" t="s">
        <v>337</v>
      </c>
      <c r="D71" s="10" t="s">
        <v>338</v>
      </c>
      <c r="E71" s="11">
        <v>224255255</v>
      </c>
    </row>
    <row r="72" spans="1:5" ht="38.25" thickBot="1">
      <c r="A72" s="77"/>
      <c r="B72" s="77"/>
      <c r="C72" s="9" t="s">
        <v>339</v>
      </c>
      <c r="D72" s="10" t="s">
        <v>340</v>
      </c>
      <c r="E72" s="11">
        <v>250250210</v>
      </c>
    </row>
    <row r="73" spans="1:5" ht="19.5" thickBot="1">
      <c r="A73" s="36"/>
      <c r="B73" s="78"/>
      <c r="C73" s="9" t="s">
        <v>341</v>
      </c>
      <c r="D73" s="10" t="s">
        <v>342</v>
      </c>
      <c r="E73" s="11">
        <v>211211211</v>
      </c>
    </row>
    <row r="74" spans="1:5" ht="19.5" thickBot="1">
      <c r="A74" s="79"/>
      <c r="B74" s="79"/>
      <c r="C74" s="9" t="s">
        <v>343</v>
      </c>
      <c r="D74" s="10" t="s">
        <v>344</v>
      </c>
      <c r="E74" s="11">
        <v>144238144</v>
      </c>
    </row>
    <row r="75" spans="1:5" ht="19.5" thickBot="1">
      <c r="A75" s="78"/>
      <c r="B75" s="78"/>
      <c r="C75" s="9" t="s">
        <v>345</v>
      </c>
      <c r="D75" s="10" t="s">
        <v>342</v>
      </c>
      <c r="E75" s="11">
        <v>211211211</v>
      </c>
    </row>
    <row r="76" spans="1:5" ht="19.5" thickBot="1">
      <c r="A76" s="80"/>
      <c r="B76" s="80"/>
      <c r="C76" s="9" t="s">
        <v>346</v>
      </c>
      <c r="D76" s="10" t="s">
        <v>347</v>
      </c>
      <c r="E76" s="11">
        <v>255182193</v>
      </c>
    </row>
    <row r="77" spans="1:5" ht="19.5" thickBot="1">
      <c r="A77" s="81"/>
      <c r="B77" s="81"/>
      <c r="C77" s="9" t="s">
        <v>348</v>
      </c>
      <c r="D77" s="10" t="s">
        <v>349</v>
      </c>
      <c r="E77" s="11">
        <v>255160122</v>
      </c>
    </row>
    <row r="78" spans="1:5" ht="19.5" thickBot="1">
      <c r="A78" s="82"/>
      <c r="B78" s="82"/>
      <c r="C78" s="9" t="s">
        <v>350</v>
      </c>
      <c r="D78" s="10" t="s">
        <v>351</v>
      </c>
      <c r="E78" s="11">
        <v>32178170</v>
      </c>
    </row>
    <row r="79" spans="1:5" ht="19.5" thickBot="1">
      <c r="A79" s="83"/>
      <c r="B79" s="83"/>
      <c r="C79" s="9" t="s">
        <v>352</v>
      </c>
      <c r="D79" s="10" t="s">
        <v>353</v>
      </c>
      <c r="E79" s="11">
        <v>135206250</v>
      </c>
    </row>
    <row r="80" spans="1:5" ht="19.5" thickBot="1">
      <c r="A80" s="84"/>
      <c r="B80" s="84"/>
      <c r="C80" s="9" t="s">
        <v>354</v>
      </c>
      <c r="D80" s="10" t="s">
        <v>355</v>
      </c>
      <c r="E80" s="11">
        <v>119136153</v>
      </c>
    </row>
    <row r="81" spans="1:5" ht="19.5" thickBot="1">
      <c r="A81" s="36"/>
      <c r="B81" s="84"/>
      <c r="C81" s="9" t="s">
        <v>356</v>
      </c>
      <c r="D81" s="10" t="s">
        <v>355</v>
      </c>
      <c r="E81" s="11">
        <v>119136153</v>
      </c>
    </row>
    <row r="82" spans="1:5" ht="19.5" thickBot="1">
      <c r="A82" s="85"/>
      <c r="B82" s="85"/>
      <c r="C82" s="9" t="s">
        <v>357</v>
      </c>
      <c r="D82" s="10" t="s">
        <v>358</v>
      </c>
      <c r="E82" s="11">
        <v>176196222</v>
      </c>
    </row>
    <row r="83" spans="1:5" ht="19.5" thickBot="1">
      <c r="A83" s="86"/>
      <c r="B83" s="86"/>
      <c r="C83" s="9" t="s">
        <v>359</v>
      </c>
      <c r="D83" s="10" t="s">
        <v>360</v>
      </c>
      <c r="E83" s="11">
        <v>255255224</v>
      </c>
    </row>
    <row r="84" spans="1:5" ht="19.5" thickBot="1">
      <c r="A84" s="87"/>
      <c r="B84" s="87"/>
      <c r="C84" s="9" t="s">
        <v>361</v>
      </c>
      <c r="D84" s="10" t="s">
        <v>362</v>
      </c>
      <c r="E84" s="10" t="s">
        <v>363</v>
      </c>
    </row>
    <row r="85" spans="1:5" ht="19.5" thickBot="1">
      <c r="A85" s="88"/>
      <c r="B85" s="88"/>
      <c r="C85" s="9" t="s">
        <v>364</v>
      </c>
      <c r="D85" s="10" t="s">
        <v>365</v>
      </c>
      <c r="E85" s="10" t="s">
        <v>366</v>
      </c>
    </row>
    <row r="86" spans="1:5" ht="19.5" thickBot="1">
      <c r="A86" s="89"/>
      <c r="B86" s="89"/>
      <c r="C86" s="9" t="s">
        <v>367</v>
      </c>
      <c r="D86" s="10" t="s">
        <v>368</v>
      </c>
      <c r="E86" s="11">
        <v>250240230</v>
      </c>
    </row>
    <row r="87" spans="1:5" ht="19.5" thickBot="1">
      <c r="A87" s="56"/>
      <c r="B87" s="56"/>
      <c r="C87" s="9" t="s">
        <v>369</v>
      </c>
      <c r="D87" s="10" t="s">
        <v>289</v>
      </c>
      <c r="E87" s="10" t="s">
        <v>290</v>
      </c>
    </row>
    <row r="88" spans="1:5" ht="19.5" thickBot="1">
      <c r="A88" s="90"/>
      <c r="B88" s="90"/>
      <c r="C88" s="9" t="s">
        <v>370</v>
      </c>
      <c r="D88" s="10" t="s">
        <v>371</v>
      </c>
      <c r="E88" s="10" t="s">
        <v>372</v>
      </c>
    </row>
    <row r="89" spans="1:5" ht="38.25" thickBot="1">
      <c r="A89" s="91"/>
      <c r="B89" s="91"/>
      <c r="C89" s="9" t="s">
        <v>373</v>
      </c>
      <c r="D89" s="10" t="s">
        <v>374</v>
      </c>
      <c r="E89" s="11">
        <v>102205170</v>
      </c>
    </row>
    <row r="90" spans="1:5" ht="19.5" thickBot="1">
      <c r="A90" s="92"/>
      <c r="B90" s="92"/>
      <c r="C90" s="9" t="s">
        <v>375</v>
      </c>
      <c r="D90" s="10" t="s">
        <v>376</v>
      </c>
      <c r="E90" s="10" t="s">
        <v>377</v>
      </c>
    </row>
    <row r="91" spans="1:5" ht="19.5" thickBot="1">
      <c r="A91" s="93"/>
      <c r="B91" s="93"/>
      <c r="C91" s="9" t="s">
        <v>378</v>
      </c>
      <c r="D91" s="10" t="s">
        <v>379</v>
      </c>
      <c r="E91" s="10" t="s">
        <v>380</v>
      </c>
    </row>
    <row r="92" spans="1:5" ht="19.5" thickBot="1">
      <c r="A92" s="94"/>
      <c r="B92" s="94"/>
      <c r="C92" s="9" t="s">
        <v>381</v>
      </c>
      <c r="D92" s="10" t="s">
        <v>382</v>
      </c>
      <c r="E92" s="11">
        <v>147112219</v>
      </c>
    </row>
    <row r="93" spans="1:5" ht="19.5" thickBot="1">
      <c r="A93" s="95"/>
      <c r="B93" s="95"/>
      <c r="C93" s="9" t="s">
        <v>383</v>
      </c>
      <c r="D93" s="10" t="s">
        <v>384</v>
      </c>
      <c r="E93" s="11">
        <v>60179113</v>
      </c>
    </row>
    <row r="94" spans="1:5" ht="19.5" thickBot="1">
      <c r="A94" s="96"/>
      <c r="B94" s="96"/>
      <c r="C94" s="9" t="s">
        <v>385</v>
      </c>
      <c r="D94" s="10" t="s">
        <v>386</v>
      </c>
      <c r="E94" s="11">
        <v>123104238</v>
      </c>
    </row>
    <row r="95" spans="1:5" ht="38.25" thickBot="1">
      <c r="A95" s="97"/>
      <c r="B95" s="97"/>
      <c r="C95" s="9" t="s">
        <v>387</v>
      </c>
      <c r="D95" s="10" t="s">
        <v>388</v>
      </c>
      <c r="E95" s="10" t="s">
        <v>389</v>
      </c>
    </row>
    <row r="96" spans="1:5" ht="19.5" thickBot="1">
      <c r="A96" s="98"/>
      <c r="B96" s="98"/>
      <c r="C96" s="9" t="s">
        <v>390</v>
      </c>
      <c r="D96" s="10" t="s">
        <v>391</v>
      </c>
      <c r="E96" s="11">
        <v>72209204</v>
      </c>
    </row>
    <row r="97" spans="1:5" ht="19.5" thickBot="1">
      <c r="A97" s="99"/>
      <c r="B97" s="99"/>
      <c r="C97" s="9" t="s">
        <v>392</v>
      </c>
      <c r="D97" s="10" t="s">
        <v>393</v>
      </c>
      <c r="E97" s="10" t="s">
        <v>394</v>
      </c>
    </row>
    <row r="98" spans="1:5" ht="19.5" thickBot="1">
      <c r="A98" s="100"/>
      <c r="B98" s="100"/>
      <c r="C98" s="9" t="s">
        <v>395</v>
      </c>
      <c r="D98" s="10" t="s">
        <v>396</v>
      </c>
      <c r="E98" s="10" t="s">
        <v>397</v>
      </c>
    </row>
    <row r="99" spans="1:5" ht="19.5" thickBot="1">
      <c r="A99" s="101"/>
      <c r="B99" s="101"/>
      <c r="C99" s="9" t="s">
        <v>398</v>
      </c>
      <c r="D99" s="10" t="s">
        <v>399</v>
      </c>
      <c r="E99" s="11">
        <v>245255250</v>
      </c>
    </row>
    <row r="100" spans="1:5" ht="19.5" thickBot="1">
      <c r="A100" s="102"/>
      <c r="B100" s="102"/>
      <c r="C100" s="9" t="s">
        <v>400</v>
      </c>
      <c r="D100" s="10" t="s">
        <v>401</v>
      </c>
      <c r="E100" s="11">
        <v>255228225</v>
      </c>
    </row>
    <row r="101" spans="1:5" ht="19.5" thickBot="1">
      <c r="A101" s="103"/>
      <c r="B101" s="103"/>
      <c r="C101" s="9" t="s">
        <v>402</v>
      </c>
      <c r="D101" s="10" t="s">
        <v>403</v>
      </c>
      <c r="E101" s="11">
        <v>255228181</v>
      </c>
    </row>
    <row r="102" spans="1:5" ht="19.5" thickBot="1">
      <c r="A102" s="104"/>
      <c r="B102" s="104"/>
      <c r="C102" s="9" t="s">
        <v>404</v>
      </c>
      <c r="D102" s="10" t="s">
        <v>405</v>
      </c>
      <c r="E102" s="11">
        <v>255222173</v>
      </c>
    </row>
    <row r="103" spans="1:5" ht="19.5" thickBot="1">
      <c r="A103" s="105"/>
      <c r="B103" s="105"/>
      <c r="C103" s="9" t="s">
        <v>406</v>
      </c>
      <c r="D103" s="10" t="s">
        <v>407</v>
      </c>
      <c r="E103" s="10" t="s">
        <v>408</v>
      </c>
    </row>
    <row r="104" spans="1:5" ht="19.5" thickBot="1">
      <c r="A104" s="106"/>
      <c r="B104" s="106"/>
      <c r="C104" s="9" t="s">
        <v>409</v>
      </c>
      <c r="D104" s="10" t="s">
        <v>410</v>
      </c>
      <c r="E104" s="11">
        <v>253245230</v>
      </c>
    </row>
    <row r="105" spans="1:5" ht="19.5" thickBot="1">
      <c r="A105" s="107"/>
      <c r="B105" s="107"/>
      <c r="C105" s="9" t="s">
        <v>411</v>
      </c>
      <c r="D105" s="10" t="s">
        <v>412</v>
      </c>
      <c r="E105" s="10" t="s">
        <v>413</v>
      </c>
    </row>
    <row r="106" spans="1:5" ht="19.5" thickBot="1">
      <c r="A106" s="108"/>
      <c r="B106" s="108"/>
      <c r="C106" s="9" t="s">
        <v>414</v>
      </c>
      <c r="D106" s="10" t="s">
        <v>415</v>
      </c>
      <c r="E106" s="10" t="s">
        <v>416</v>
      </c>
    </row>
    <row r="107" spans="1:5" ht="19.5" thickBot="1">
      <c r="A107" s="109"/>
      <c r="B107" s="109"/>
      <c r="C107" s="9" t="s">
        <v>147</v>
      </c>
      <c r="D107" s="10" t="s">
        <v>417</v>
      </c>
      <c r="E107" s="10" t="s">
        <v>418</v>
      </c>
    </row>
    <row r="108" spans="1:5" ht="19.5" thickBot="1">
      <c r="A108" s="110"/>
      <c r="B108" s="110"/>
      <c r="C108" s="9" t="s">
        <v>135</v>
      </c>
      <c r="D108" s="10" t="s">
        <v>419</v>
      </c>
      <c r="E108" s="10" t="s">
        <v>420</v>
      </c>
    </row>
    <row r="109" spans="1:5" ht="19.5" thickBot="1">
      <c r="A109" s="111"/>
      <c r="B109" s="111"/>
      <c r="C109" s="9" t="s">
        <v>421</v>
      </c>
      <c r="D109" s="10" t="s">
        <v>422</v>
      </c>
      <c r="E109" s="11">
        <v>218112214</v>
      </c>
    </row>
    <row r="110" spans="1:5" ht="19.5" thickBot="1">
      <c r="A110" s="112"/>
      <c r="B110" s="112"/>
      <c r="C110" s="9" t="s">
        <v>423</v>
      </c>
      <c r="D110" s="10" t="s">
        <v>424</v>
      </c>
      <c r="E110" s="11">
        <v>238232170</v>
      </c>
    </row>
    <row r="111" spans="1:5" ht="19.5" thickBot="1">
      <c r="A111" s="113"/>
      <c r="B111" s="113"/>
      <c r="C111" s="9" t="s">
        <v>425</v>
      </c>
      <c r="D111" s="10" t="s">
        <v>426</v>
      </c>
      <c r="E111" s="11">
        <v>152251152</v>
      </c>
    </row>
    <row r="112" spans="1:5" ht="19.5" thickBot="1">
      <c r="A112" s="114"/>
      <c r="B112" s="114"/>
      <c r="C112" s="9" t="s">
        <v>427</v>
      </c>
      <c r="D112" s="10" t="s">
        <v>428</v>
      </c>
      <c r="E112" s="11">
        <v>175238238</v>
      </c>
    </row>
    <row r="113" spans="1:5" ht="19.5" thickBot="1">
      <c r="A113" s="115"/>
      <c r="B113" s="115"/>
      <c r="C113" s="9" t="s">
        <v>429</v>
      </c>
      <c r="D113" s="10" t="s">
        <v>430</v>
      </c>
      <c r="E113" s="11">
        <v>219112147</v>
      </c>
    </row>
    <row r="114" spans="1:5" ht="19.5" thickBot="1">
      <c r="A114" s="116"/>
      <c r="B114" s="116"/>
      <c r="C114" s="9" t="s">
        <v>431</v>
      </c>
      <c r="D114" s="10" t="s">
        <v>432</v>
      </c>
      <c r="E114" s="11">
        <v>255239213</v>
      </c>
    </row>
    <row r="115" spans="1:5" ht="19.5" thickBot="1">
      <c r="A115" s="117"/>
      <c r="B115" s="117"/>
      <c r="C115" s="9" t="s">
        <v>433</v>
      </c>
      <c r="D115" s="10" t="s">
        <v>434</v>
      </c>
      <c r="E115" s="11">
        <v>255218185</v>
      </c>
    </row>
    <row r="116" spans="1:5" ht="19.5" thickBot="1">
      <c r="A116" s="118"/>
      <c r="B116" s="118"/>
      <c r="C116" s="9" t="s">
        <v>435</v>
      </c>
      <c r="D116" s="10" t="s">
        <v>436</v>
      </c>
      <c r="E116" s="10" t="s">
        <v>437</v>
      </c>
    </row>
    <row r="117" spans="1:5" ht="19.5" thickBot="1">
      <c r="A117" s="119"/>
      <c r="B117" s="119"/>
      <c r="C117" s="9" t="s">
        <v>438</v>
      </c>
      <c r="D117" s="10" t="s">
        <v>439</v>
      </c>
      <c r="E117" s="11">
        <v>255192203</v>
      </c>
    </row>
    <row r="118" spans="1:5" ht="19.5" thickBot="1">
      <c r="A118" s="120"/>
      <c r="B118" s="120"/>
      <c r="C118" s="9" t="s">
        <v>440</v>
      </c>
      <c r="D118" s="10" t="s">
        <v>441</v>
      </c>
      <c r="E118" s="11">
        <v>221160221</v>
      </c>
    </row>
    <row r="119" spans="1:5" ht="19.5" thickBot="1">
      <c r="A119" s="121"/>
      <c r="B119" s="121"/>
      <c r="C119" s="9" t="s">
        <v>442</v>
      </c>
      <c r="D119" s="10" t="s">
        <v>443</v>
      </c>
      <c r="E119" s="11">
        <v>176224230</v>
      </c>
    </row>
    <row r="120" spans="1:5" ht="19.5" thickBot="1">
      <c r="A120" s="122"/>
      <c r="B120" s="122"/>
      <c r="C120" s="9" t="s">
        <v>444</v>
      </c>
      <c r="D120" s="10" t="s">
        <v>445</v>
      </c>
      <c r="E120" s="10" t="s">
        <v>446</v>
      </c>
    </row>
    <row r="121" spans="1:5" ht="19.5" thickBot="1">
      <c r="A121" s="123"/>
      <c r="B121" s="123"/>
      <c r="C121" s="9" t="s">
        <v>131</v>
      </c>
      <c r="D121" s="10" t="s">
        <v>447</v>
      </c>
      <c r="E121" s="10" t="s">
        <v>448</v>
      </c>
    </row>
    <row r="122" spans="1:5" ht="19.5" thickBot="1">
      <c r="A122" s="124"/>
      <c r="B122" s="124"/>
      <c r="C122" s="9" t="s">
        <v>449</v>
      </c>
      <c r="D122" s="10" t="s">
        <v>450</v>
      </c>
      <c r="E122" s="11">
        <v>188143143</v>
      </c>
    </row>
    <row r="123" spans="1:5" ht="19.5" thickBot="1">
      <c r="A123" s="125"/>
      <c r="B123" s="125"/>
      <c r="C123" s="9" t="s">
        <v>451</v>
      </c>
      <c r="D123" s="10" t="s">
        <v>452</v>
      </c>
      <c r="E123" s="11">
        <v>65105225</v>
      </c>
    </row>
    <row r="124" spans="1:5" ht="19.5" thickBot="1">
      <c r="A124" s="126"/>
      <c r="B124" s="126"/>
      <c r="C124" s="9" t="s">
        <v>453</v>
      </c>
      <c r="D124" s="10" t="s">
        <v>454</v>
      </c>
      <c r="E124" s="10" t="s">
        <v>455</v>
      </c>
    </row>
    <row r="125" spans="1:5" ht="19.5" thickBot="1">
      <c r="A125" s="127"/>
      <c r="B125" s="127"/>
      <c r="C125" s="9" t="s">
        <v>456</v>
      </c>
      <c r="D125" s="10" t="s">
        <v>457</v>
      </c>
      <c r="E125" s="11">
        <v>250128114</v>
      </c>
    </row>
    <row r="126" spans="1:5" ht="19.5" thickBot="1">
      <c r="A126" s="128"/>
      <c r="B126" s="128"/>
      <c r="C126" s="9" t="s">
        <v>458</v>
      </c>
      <c r="D126" s="10" t="s">
        <v>459</v>
      </c>
      <c r="E126" s="10" t="s">
        <v>460</v>
      </c>
    </row>
    <row r="127" spans="1:5" ht="19.5" thickBot="1">
      <c r="A127" s="129"/>
      <c r="B127" s="129"/>
      <c r="C127" s="9" t="s">
        <v>461</v>
      </c>
      <c r="D127" s="10" t="s">
        <v>462</v>
      </c>
      <c r="E127" s="10" t="s">
        <v>463</v>
      </c>
    </row>
    <row r="128" spans="1:5" ht="19.5" thickBot="1">
      <c r="A128" s="130"/>
      <c r="B128" s="130"/>
      <c r="C128" s="9" t="s">
        <v>464</v>
      </c>
      <c r="D128" s="10" t="s">
        <v>465</v>
      </c>
      <c r="E128" s="11">
        <v>255245238</v>
      </c>
    </row>
    <row r="129" spans="1:5" ht="19.5" thickBot="1">
      <c r="A129" s="131"/>
      <c r="B129" s="131"/>
      <c r="C129" s="9" t="s">
        <v>466</v>
      </c>
      <c r="D129" s="10" t="s">
        <v>467</v>
      </c>
      <c r="E129" s="10" t="s">
        <v>468</v>
      </c>
    </row>
    <row r="130" spans="1:5" ht="19.5" thickBot="1">
      <c r="A130" s="132"/>
      <c r="B130" s="132"/>
      <c r="C130" s="9" t="s">
        <v>469</v>
      </c>
      <c r="D130" s="10" t="s">
        <v>470</v>
      </c>
      <c r="E130" s="11">
        <v>192192192</v>
      </c>
    </row>
    <row r="131" spans="1:5" ht="19.5" thickBot="1">
      <c r="A131" s="133"/>
      <c r="B131" s="133"/>
      <c r="C131" s="9" t="s">
        <v>471</v>
      </c>
      <c r="D131" s="10" t="s">
        <v>472</v>
      </c>
      <c r="E131" s="11">
        <v>135206235</v>
      </c>
    </row>
    <row r="132" spans="1:5" ht="19.5" thickBot="1">
      <c r="A132" s="134"/>
      <c r="B132" s="134"/>
      <c r="C132" s="9" t="s">
        <v>473</v>
      </c>
      <c r="D132" s="10" t="s">
        <v>474</v>
      </c>
      <c r="E132" s="10" t="s">
        <v>475</v>
      </c>
    </row>
    <row r="133" spans="1:5" ht="19.5" thickBot="1">
      <c r="A133" s="135"/>
      <c r="B133" s="135"/>
      <c r="C133" s="9" t="s">
        <v>476</v>
      </c>
      <c r="D133" s="10" t="s">
        <v>477</v>
      </c>
      <c r="E133" s="11">
        <v>112128144</v>
      </c>
    </row>
    <row r="134" spans="1:5" ht="19.5" thickBot="1">
      <c r="A134" s="36"/>
      <c r="B134" s="135"/>
      <c r="C134" s="9" t="s">
        <v>478</v>
      </c>
      <c r="D134" s="10" t="s">
        <v>477</v>
      </c>
      <c r="E134" s="11">
        <v>112128144</v>
      </c>
    </row>
    <row r="135" spans="1:5" ht="19.5" thickBot="1">
      <c r="A135" s="136"/>
      <c r="B135" s="136"/>
      <c r="C135" s="9" t="s">
        <v>479</v>
      </c>
      <c r="D135" s="10" t="s">
        <v>480</v>
      </c>
      <c r="E135" s="11">
        <v>255250250</v>
      </c>
    </row>
    <row r="136" spans="1:5" ht="19.5" thickBot="1">
      <c r="A136" s="137"/>
      <c r="B136" s="137"/>
      <c r="C136" s="9" t="s">
        <v>481</v>
      </c>
      <c r="D136" s="10" t="s">
        <v>482</v>
      </c>
      <c r="E136" s="10" t="s">
        <v>483</v>
      </c>
    </row>
    <row r="137" spans="1:5" ht="19.5" thickBot="1">
      <c r="A137" s="138"/>
      <c r="B137" s="138"/>
      <c r="C137" s="9" t="s">
        <v>484</v>
      </c>
      <c r="D137" s="10" t="s">
        <v>485</v>
      </c>
      <c r="E137" s="11">
        <v>70130180</v>
      </c>
    </row>
    <row r="138" spans="1:5" ht="19.5" thickBot="1">
      <c r="A138" s="139"/>
      <c r="B138" s="139"/>
      <c r="C138" s="9" t="s">
        <v>486</v>
      </c>
      <c r="D138" s="10" t="s">
        <v>487</v>
      </c>
      <c r="E138" s="11">
        <v>210180140</v>
      </c>
    </row>
    <row r="139" spans="1:5" ht="19.5" thickBot="1">
      <c r="A139" s="140"/>
      <c r="B139" s="140"/>
      <c r="C139" s="9" t="s">
        <v>488</v>
      </c>
      <c r="D139" s="10" t="s">
        <v>489</v>
      </c>
      <c r="E139" s="10" t="s">
        <v>490</v>
      </c>
    </row>
    <row r="140" spans="1:5" ht="19.5" thickBot="1">
      <c r="A140" s="141"/>
      <c r="B140" s="141"/>
      <c r="C140" s="9" t="s">
        <v>491</v>
      </c>
      <c r="D140" s="10" t="s">
        <v>492</v>
      </c>
      <c r="E140" s="11">
        <v>216191216</v>
      </c>
    </row>
    <row r="141" spans="1:5" ht="19.5" thickBot="1">
      <c r="A141" s="142"/>
      <c r="B141" s="142"/>
      <c r="C141" s="9" t="s">
        <v>493</v>
      </c>
      <c r="D141" s="10" t="s">
        <v>494</v>
      </c>
      <c r="E141" s="10" t="s">
        <v>495</v>
      </c>
    </row>
    <row r="142" spans="1:5" ht="19.5" thickBot="1">
      <c r="A142" s="143"/>
      <c r="B142" s="143"/>
      <c r="C142" s="9" t="s">
        <v>496</v>
      </c>
      <c r="D142" s="10" t="s">
        <v>497</v>
      </c>
      <c r="E142" s="11">
        <v>64224208</v>
      </c>
    </row>
    <row r="143" spans="1:5" ht="19.5" thickBot="1">
      <c r="A143" s="144"/>
      <c r="B143" s="144"/>
      <c r="C143" s="9" t="s">
        <v>498</v>
      </c>
      <c r="D143" s="10" t="s">
        <v>499</v>
      </c>
      <c r="E143" s="11">
        <v>238130238</v>
      </c>
    </row>
    <row r="144" spans="1:5" ht="19.5" thickBot="1">
      <c r="A144" s="145"/>
      <c r="B144" s="145"/>
      <c r="C144" s="9" t="s">
        <v>500</v>
      </c>
      <c r="D144" s="10" t="s">
        <v>501</v>
      </c>
      <c r="E144" s="11">
        <v>245222179</v>
      </c>
    </row>
    <row r="145" spans="1:5" ht="19.5" thickBot="1">
      <c r="A145" s="146"/>
      <c r="B145" s="146"/>
      <c r="C145" s="9" t="s">
        <v>30</v>
      </c>
      <c r="D145" s="10" t="s">
        <v>502</v>
      </c>
      <c r="E145" s="11">
        <v>255255255</v>
      </c>
    </row>
    <row r="146" spans="1:5" ht="19.5" thickBot="1">
      <c r="A146" s="147"/>
      <c r="B146" s="147"/>
      <c r="C146" s="9" t="s">
        <v>503</v>
      </c>
      <c r="D146" s="10" t="s">
        <v>504</v>
      </c>
      <c r="E146" s="11">
        <v>245245245</v>
      </c>
    </row>
    <row r="147" spans="1:5" ht="19.5" thickBot="1">
      <c r="A147" s="148"/>
      <c r="B147" s="148"/>
      <c r="C147" s="9" t="s">
        <v>505</v>
      </c>
      <c r="D147" s="10" t="s">
        <v>506</v>
      </c>
      <c r="E147" s="10" t="s">
        <v>507</v>
      </c>
    </row>
    <row r="148" spans="1:5" ht="19.5" thickBot="1">
      <c r="A148" s="149"/>
      <c r="B148" s="149"/>
      <c r="C148" s="9" t="s">
        <v>508</v>
      </c>
      <c r="D148" s="10" t="s">
        <v>509</v>
      </c>
      <c r="E148" s="10" t="s">
        <v>510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Object List</vt:lpstr>
      <vt:lpstr>Sheet2</vt:lpstr>
      <vt:lpstr>Sheet3</vt:lpstr>
      <vt:lpstr>Colour codes</vt:lpstr>
    </vt:vector>
  </TitlesOfParts>
  <Company>Epicor Software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Kirill Bondarenko</dc:creator>
  <cp:lastModifiedBy>Kirill Bondarenko</cp:lastModifiedBy>
  <dcterms:created xsi:type="dcterms:W3CDTF">2017-12-31T11:22:11Z</dcterms:created>
  <dcterms:modified xsi:type="dcterms:W3CDTF">2018-09-26T16:22:38Z</dcterms:modified>
</cp:coreProperties>
</file>